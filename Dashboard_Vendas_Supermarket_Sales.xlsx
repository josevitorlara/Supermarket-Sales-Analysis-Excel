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jetos portifolio\Projeto 1\"/>
    </mc:Choice>
  </mc:AlternateContent>
  <xr:revisionPtr revIDLastSave="0" documentId="13_ncr:1_{E9B0FD3F-0BD0-482F-91FC-AEF83E11F9FF}" xr6:coauthVersionLast="47" xr6:coauthVersionMax="47" xr10:uidLastSave="{00000000-0000-0000-0000-000000000000}"/>
  <bookViews>
    <workbookView xWindow="-120" yWindow="-120" windowWidth="20730" windowHeight="11040" xr2:uid="{2CCFAB1E-E884-488F-911B-85A85CAD942F}"/>
  </bookViews>
  <sheets>
    <sheet name="Dashboard" sheetId="7" r:id="rId1"/>
    <sheet name="Ranking de produtos" sheetId="4" state="hidden" r:id="rId2"/>
    <sheet name="Onde vedemos +" sheetId="5" state="hidden" r:id="rId3"/>
    <sheet name="Quem é nosso Cliente" sheetId="6" state="hidden" r:id="rId4"/>
    <sheet name="Evolução do Faturamento Mensal " sheetId="8" state="hidden" r:id="rId5"/>
    <sheet name="Dados_Brutos" sheetId="2" state="hidden" r:id="rId6"/>
  </sheets>
  <definedNames>
    <definedName name="DadosExternos_1" localSheetId="5" hidden="1">Dados_Brutos!$A$1:$R$1001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F1BD2-D3BB-4106-B5FB-24BF182201B2}" keepAlive="1" name="Consulta - SuperMarket Analysis" description="Conexão com a consulta 'SuperMarket Analysis' na pasta de trabalho." type="5" refreshedVersion="8" background="1" saveData="1">
    <dbPr connection="Provider=Microsoft.Mashup.OleDb.1;Data Source=$Workbook$;Location=&quot;SuperMarket Analysis&quot;;Extended Properties=&quot;&quot;" command="SELECT * FROM [SuperMarket Analysis]"/>
  </connection>
</connections>
</file>

<file path=xl/sharedStrings.xml><?xml version="1.0" encoding="utf-8"?>
<sst xmlns="http://schemas.openxmlformats.org/spreadsheetml/2006/main" count="7045" uniqueCount="1044">
  <si>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</si>
  <si>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</si>
  <si>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</si>
  <si>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</si>
  <si>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</si>
  <si>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</si>
  <si>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</si>
  <si>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</si>
  <si>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</si>
  <si>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</si>
  <si>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</si>
  <si>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</si>
  <si>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</si>
  <si>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</si>
  <si>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</si>
  <si>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</si>
  <si>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</si>
  <si>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</si>
  <si>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</si>
  <si>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</si>
  <si>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</si>
  <si>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</si>
  <si>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</si>
  <si>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</si>
  <si>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</si>
  <si>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</si>
  <si>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</si>
  <si>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</si>
  <si>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</si>
  <si>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</si>
  <si>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</si>
  <si>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</si>
  <si>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</si>
  <si>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</si>
  <si>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</si>
  <si>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</si>
  <si>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</si>
  <si>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</si>
  <si>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</si>
  <si>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</si>
  <si>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</si>
  <si>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</si>
  <si>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</si>
  <si>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</si>
  <si>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</si>
  <si>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</si>
  <si>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</si>
  <si>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</si>
  <si>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</si>
  <si>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</si>
  <si>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</si>
  <si>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</si>
  <si>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</si>
  <si>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</si>
  <si>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</si>
  <si>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</si>
  <si>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</si>
  <si>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</si>
  <si>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</si>
  <si>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</si>
  <si>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</si>
  <si>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</si>
  <si>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</si>
  <si>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</si>
  <si>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</si>
  <si>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</si>
  <si>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</si>
  <si>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</si>
  <si>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</si>
  <si>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</si>
  <si>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</si>
  <si>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</si>
  <si>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</si>
  <si>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</si>
  <si>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</si>
  <si>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</si>
  <si>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</si>
  <si>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</si>
  <si>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</si>
  <si>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</si>
  <si>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</si>
  <si>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</si>
  <si>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</si>
  <si>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</si>
  <si>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</si>
  <si>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</si>
  <si>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</si>
  <si>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</si>
  <si>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</si>
  <si>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</si>
  <si>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</si>
  <si>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</si>
  <si>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</si>
  <si>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</si>
  <si>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</si>
  <si>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</si>
  <si>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</si>
  <si>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</si>
  <si>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</si>
  <si>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</si>
  <si>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</si>
  <si>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</si>
  <si>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</si>
  <si>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</si>
  <si>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</si>
  <si>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</si>
  <si>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</si>
  <si>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</si>
  <si>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</si>
  <si>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</si>
  <si>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</si>
  <si>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</si>
  <si>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</si>
  <si>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</si>
  <si>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</si>
  <si>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</si>
  <si>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</si>
  <si>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</si>
  <si>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</si>
  <si>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</si>
  <si>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</si>
  <si>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</si>
  <si>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</si>
  <si>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</si>
  <si>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</si>
  <si>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</si>
  <si>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</si>
  <si>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</si>
  <si>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</si>
  <si>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</si>
  <si>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</si>
  <si>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</si>
  <si>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</si>
  <si>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</si>
  <si>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</si>
  <si>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</si>
  <si>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</si>
  <si>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</si>
  <si>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</si>
  <si>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</si>
  <si>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</si>
  <si>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</si>
  <si>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</si>
  <si>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</si>
  <si>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</si>
  <si>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</si>
  <si>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</si>
  <si>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</si>
  <si>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</si>
  <si>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</si>
  <si>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</si>
  <si>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</si>
  <si>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</si>
  <si>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</si>
  <si>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</si>
  <si>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</si>
  <si>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</si>
  <si>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</si>
  <si>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</si>
  <si>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</si>
  <si>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</si>
  <si>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</si>
  <si>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</si>
  <si>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</si>
  <si>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</si>
  <si>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</si>
  <si>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</si>
  <si>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</si>
  <si>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</si>
  <si>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</si>
  <si>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</si>
  <si>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</si>
  <si>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</si>
  <si>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</si>
  <si>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</si>
  <si>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</si>
  <si>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</si>
  <si>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</si>
  <si>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</si>
  <si>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</si>
  <si>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</si>
  <si>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</si>
  <si>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</si>
  <si>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</si>
  <si>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</si>
  <si>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</si>
  <si>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</si>
  <si>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</si>
  <si>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</si>
  <si>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</si>
  <si>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</si>
  <si>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</si>
  <si>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</si>
  <si>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</si>
  <si>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</si>
  <si>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</si>
  <si>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</si>
  <si>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</si>
  <si>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</si>
  <si>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</si>
  <si>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</si>
  <si>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</si>
  <si>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</si>
  <si>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</si>
  <si>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</si>
  <si>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</si>
  <si>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</si>
  <si>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</si>
  <si>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</si>
  <si>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</si>
  <si>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</si>
  <si>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</si>
  <si>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</si>
  <si>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</si>
  <si>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</si>
  <si>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</si>
  <si>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</si>
  <si>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</si>
  <si>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</si>
  <si>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</si>
  <si>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</si>
  <si>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</si>
  <si>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</si>
  <si>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</si>
  <si>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</si>
  <si>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</si>
  <si>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</si>
  <si>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</si>
  <si>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</si>
  <si>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</si>
  <si>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</si>
  <si>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</si>
  <si>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</si>
  <si>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</si>
  <si>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</si>
  <si>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</si>
  <si>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</si>
  <si>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</si>
  <si>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</si>
  <si>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</si>
  <si>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</si>
  <si>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</si>
  <si>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</si>
  <si>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</si>
  <si>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</si>
  <si>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</si>
  <si>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</si>
  <si>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</si>
  <si>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</si>
  <si>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</si>
  <si>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</si>
  <si>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</si>
  <si>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</si>
  <si>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</si>
  <si>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</si>
  <si>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</si>
  <si>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</si>
  <si>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</si>
  <si>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</si>
  <si>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</si>
  <si>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</si>
  <si>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</si>
  <si>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</si>
  <si>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</si>
  <si>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</si>
  <si>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</si>
  <si>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</si>
  <si>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</si>
  <si>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</si>
  <si>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</si>
  <si>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</si>
  <si>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</si>
  <si>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</si>
  <si>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</si>
  <si>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</si>
  <si>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</si>
  <si>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</si>
  <si>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</si>
  <si>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</si>
  <si>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</si>
  <si>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</si>
  <si>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</si>
  <si>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</si>
  <si>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</si>
  <si>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</si>
  <si>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</si>
  <si>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</si>
  <si>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</si>
  <si>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</si>
  <si>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</si>
  <si>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</si>
  <si>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</si>
  <si>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</si>
  <si>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</si>
  <si>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</si>
  <si>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</si>
  <si>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</si>
  <si>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</si>
  <si>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</si>
  <si>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</si>
  <si>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</si>
  <si>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</si>
  <si>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</si>
  <si>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</si>
  <si>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</si>
  <si>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</si>
  <si>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</si>
  <si>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</si>
  <si>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</si>
  <si>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</si>
  <si>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</si>
  <si>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</si>
  <si>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</si>
  <si>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</si>
  <si>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</si>
  <si>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</si>
  <si>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</si>
  <si>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</si>
  <si>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</si>
  <si>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</si>
  <si>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</si>
  <si>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</si>
  <si>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</si>
  <si>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</si>
  <si>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</si>
  <si>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</si>
  <si>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</si>
  <si>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</si>
  <si>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</si>
  <si>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</si>
  <si>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</si>
  <si>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</si>
  <si>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</si>
  <si>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</si>
  <si>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</si>
  <si>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</si>
  <si>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</si>
  <si>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</si>
  <si>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</si>
  <si>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</si>
  <si>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</si>
  <si>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</si>
  <si>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</si>
  <si>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</si>
  <si>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</si>
  <si>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</si>
  <si>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</si>
  <si>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</si>
  <si>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</si>
  <si>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</si>
  <si>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</si>
  <si>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</si>
  <si>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</si>
  <si>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</si>
  <si>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</si>
  <si>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</si>
  <si>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</si>
  <si>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</si>
  <si>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</si>
  <si>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</si>
  <si>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</si>
  <si>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</si>
  <si>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</si>
  <si>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</si>
  <si>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</si>
  <si>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</si>
  <si>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</si>
  <si>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</si>
  <si>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</si>
  <si>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</si>
  <si>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</si>
  <si>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</si>
  <si>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</si>
  <si>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</si>
  <si>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</si>
  <si>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</si>
  <si>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</si>
  <si>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</si>
  <si>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</si>
  <si>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</si>
  <si>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</si>
  <si>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</si>
  <si>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</si>
  <si>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</si>
  <si>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</si>
  <si>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</si>
  <si>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</si>
  <si>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</si>
  <si>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</si>
  <si>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</si>
  <si>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</si>
  <si>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</si>
  <si>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</si>
  <si>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</si>
  <si>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</si>
  <si>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</si>
  <si>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</si>
  <si>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</si>
  <si>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</si>
  <si>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</si>
  <si>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</si>
  <si>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</si>
  <si>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</si>
  <si>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</si>
  <si>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</si>
  <si>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</si>
  <si>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</si>
  <si>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</si>
  <si>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</si>
  <si>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</si>
  <si>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</si>
  <si>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</si>
  <si>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</si>
  <si>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</si>
  <si>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</si>
  <si>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</si>
  <si>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</si>
  <si>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</si>
  <si>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</si>
  <si>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</si>
  <si>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</si>
  <si>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</si>
  <si>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</si>
  <si>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</si>
  <si>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</si>
  <si>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</si>
  <si>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</si>
  <si>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</si>
  <si>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</si>
  <si>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</si>
  <si>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</si>
  <si>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</si>
  <si>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</si>
  <si>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</si>
  <si>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</si>
  <si>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</si>
  <si>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</si>
  <si>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</si>
  <si>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</si>
  <si>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</si>
  <si>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</si>
  <si>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</si>
  <si>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</si>
  <si>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</si>
  <si>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</si>
  <si>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</si>
  <si>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</si>
  <si>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</si>
  <si>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</si>
  <si>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</si>
  <si>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</si>
  <si>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</si>
  <si>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</si>
  <si>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</si>
  <si>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</si>
  <si>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</si>
  <si>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</si>
  <si>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</si>
  <si>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</si>
  <si>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</si>
  <si>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</si>
  <si>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</si>
  <si>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</si>
  <si>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</si>
  <si>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</si>
  <si>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</si>
  <si>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</si>
  <si>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</si>
  <si>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</si>
  <si>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</si>
  <si>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</si>
  <si>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</si>
  <si>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</si>
  <si>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</si>
  <si>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</si>
  <si>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</si>
  <si>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</si>
  <si>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</si>
  <si>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</si>
  <si>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</si>
  <si>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</si>
  <si>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</si>
  <si>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</si>
  <si>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</si>
  <si>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</si>
  <si>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</si>
  <si>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</si>
  <si>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</si>
  <si>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</si>
  <si>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</si>
  <si>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</si>
  <si>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</si>
  <si>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</si>
  <si>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</si>
  <si>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</si>
  <si>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</si>
  <si>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</si>
  <si>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</si>
  <si>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</si>
  <si>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</si>
  <si>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</si>
  <si>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</si>
  <si>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</si>
  <si>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</si>
  <si>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</si>
  <si>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</si>
  <si>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</si>
  <si>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</si>
  <si>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</si>
  <si>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</si>
  <si>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</si>
  <si>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</si>
  <si>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</si>
  <si>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</si>
  <si>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</si>
  <si>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</si>
  <si>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</si>
  <si>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</si>
  <si>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</si>
  <si>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</si>
  <si>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</si>
  <si>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</si>
  <si>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</si>
  <si>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</si>
  <si>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</si>
  <si>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</si>
  <si>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</si>
  <si>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</si>
  <si>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</si>
  <si>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</si>
  <si>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</si>
  <si>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</si>
  <si>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</si>
  <si>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</si>
  <si>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</si>
  <si>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</si>
  <si>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</si>
  <si>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</si>
  <si>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</si>
  <si>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</si>
  <si>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</si>
  <si>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</si>
  <si>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</si>
  <si>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</si>
  <si>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</si>
  <si>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</si>
  <si>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</si>
  <si>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</si>
  <si>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</si>
  <si>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</si>
  <si>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</si>
  <si>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</si>
  <si>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</si>
  <si>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</si>
  <si>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</si>
  <si>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</si>
  <si>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</si>
  <si>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</si>
  <si>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</si>
  <si>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</si>
  <si>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</si>
  <si>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</si>
  <si>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</si>
  <si>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</si>
  <si>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</si>
  <si>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</si>
  <si>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</si>
  <si>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</si>
  <si>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</si>
  <si>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</si>
  <si>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</si>
  <si>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</si>
  <si>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</si>
  <si>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</si>
  <si>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</si>
  <si>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</si>
  <si>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</si>
  <si>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</si>
  <si>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</si>
  <si>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</si>
  <si>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</si>
  <si>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</si>
  <si>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</si>
  <si>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</si>
  <si>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</si>
  <si>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</si>
  <si>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</si>
  <si>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</si>
  <si>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</si>
  <si>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</si>
  <si>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</si>
  <si>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</si>
  <si>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</si>
  <si>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</si>
  <si>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</si>
  <si>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</si>
  <si>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</si>
  <si>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</si>
  <si>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</si>
  <si>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</si>
  <si>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</si>
  <si>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</si>
  <si>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</si>
  <si>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</si>
  <si>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</si>
  <si>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</si>
  <si>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</si>
  <si>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</si>
  <si>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</si>
  <si>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</si>
  <si>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</si>
  <si>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</si>
  <si>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</si>
  <si>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</si>
  <si>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</si>
  <si>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</si>
  <si>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</si>
  <si>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</si>
  <si>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</si>
  <si>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</si>
  <si>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</si>
  <si>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</si>
  <si>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</si>
  <si>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</si>
  <si>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</si>
  <si>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</si>
  <si>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</si>
  <si>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</si>
  <si>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</si>
  <si>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</si>
  <si>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</si>
  <si>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</si>
  <si>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</si>
  <si>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</si>
  <si>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</si>
  <si>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</si>
  <si>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</si>
  <si>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</si>
  <si>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</si>
  <si>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</si>
  <si>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</si>
  <si>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</si>
  <si>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</si>
  <si>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</si>
  <si>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</si>
  <si>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</si>
  <si>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</si>
  <si>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</si>
  <si>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</si>
  <si>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</si>
  <si>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</si>
  <si>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</si>
  <si>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</si>
  <si>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</si>
  <si>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</si>
  <si>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</si>
  <si>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</si>
  <si>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</si>
  <si>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</si>
  <si>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</si>
  <si>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</si>
  <si>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</si>
  <si>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</si>
  <si>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</si>
  <si>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</si>
  <si>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</si>
  <si>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</si>
  <si>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</si>
  <si>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</si>
  <si>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</si>
  <si>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</si>
  <si>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</si>
  <si>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</si>
  <si>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</si>
  <si>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</si>
  <si>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</si>
  <si>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</si>
  <si>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</si>
  <si>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</si>
  <si>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</si>
  <si>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</si>
  <si>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</si>
  <si>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</si>
  <si>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</si>
  <si>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</si>
  <si>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</si>
  <si>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</si>
  <si>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</si>
  <si>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</si>
  <si>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</si>
  <si>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</si>
  <si>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</si>
  <si>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</si>
  <si>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</si>
  <si>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</si>
  <si>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</si>
  <si>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</si>
  <si>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</si>
  <si>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</si>
  <si>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</si>
  <si>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</si>
  <si>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</si>
  <si>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</si>
  <si>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</si>
  <si>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</si>
  <si>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</si>
  <si>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</si>
  <si>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</si>
  <si>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</si>
  <si>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</si>
  <si>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</si>
  <si>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</si>
  <si>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</si>
  <si>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</si>
  <si>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</si>
  <si>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</si>
  <si>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</si>
  <si>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</si>
  <si>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</si>
  <si>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</si>
  <si>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</si>
  <si>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</si>
  <si>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</si>
  <si>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</si>
  <si>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</si>
  <si>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</si>
  <si>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</si>
  <si>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</si>
  <si>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</si>
  <si>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</si>
  <si>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</si>
  <si>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</si>
  <si>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</si>
  <si>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</si>
  <si>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</si>
  <si>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</si>
  <si>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</si>
  <si>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</si>
  <si>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</si>
  <si>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</si>
  <si>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</si>
  <si>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</si>
  <si>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</si>
  <si>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</si>
  <si>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</si>
  <si>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</si>
  <si>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</si>
  <si>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</si>
  <si>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</si>
  <si>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</si>
  <si>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</si>
  <si>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</si>
  <si>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</si>
  <si>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</si>
  <si>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</si>
  <si>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</si>
  <si>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</si>
  <si>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</si>
  <si>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</si>
  <si>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</si>
  <si>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</si>
  <si>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</si>
  <si>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</si>
  <si>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</si>
  <si>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</si>
  <si>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</si>
  <si>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</si>
  <si>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</si>
  <si>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</si>
  <si>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</si>
  <si>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</si>
  <si>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</si>
  <si>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</si>
  <si>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</si>
  <si>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</si>
  <si>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</si>
  <si>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</si>
  <si>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</si>
  <si>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</si>
  <si>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</si>
  <si>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</si>
  <si>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</si>
  <si>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</si>
  <si>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</si>
  <si>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</si>
  <si>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</si>
  <si>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</si>
  <si>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</si>
  <si>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</si>
  <si>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</si>
  <si>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</si>
  <si>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</si>
  <si>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</si>
  <si>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</si>
  <si>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</si>
  <si>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</si>
  <si>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</si>
  <si>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</si>
  <si>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</si>
  <si>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</si>
  <si>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</si>
  <si>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</si>
  <si>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</si>
  <si>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</si>
  <si>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</si>
  <si>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</si>
  <si>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</si>
  <si>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</si>
  <si>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</si>
  <si>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</si>
  <si>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</si>
  <si>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</si>
  <si>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</si>
  <si>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</si>
  <si>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</si>
  <si>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</si>
  <si>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</si>
  <si>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</si>
  <si>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</si>
  <si>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</si>
  <si>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</si>
  <si>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</si>
  <si>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</si>
  <si>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</si>
  <si>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</si>
  <si>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</si>
  <si>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</si>
  <si>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</si>
  <si>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</si>
  <si>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</si>
  <si>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</si>
  <si>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</si>
  <si>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</si>
  <si>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</si>
  <si>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</si>
  <si>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</si>
  <si>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</si>
  <si>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</si>
  <si>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</si>
  <si>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</si>
  <si>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</si>
  <si>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</si>
  <si>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</si>
  <si>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</si>
  <si>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</si>
  <si>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</si>
  <si>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</si>
  <si>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</si>
  <si>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</si>
  <si>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</si>
  <si>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</si>
  <si>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</si>
  <si>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</si>
  <si>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</si>
  <si>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</si>
  <si>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</si>
  <si>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</si>
  <si>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</si>
  <si>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</si>
  <si>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</si>
  <si>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</si>
  <si>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</si>
  <si>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</si>
  <si>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</si>
  <si>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</si>
  <si>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</si>
  <si>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</si>
  <si>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</si>
  <si>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</si>
  <si>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</si>
  <si>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</si>
  <si>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</si>
  <si>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</si>
  <si>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</si>
  <si>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</si>
  <si>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</si>
  <si>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</si>
  <si>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</si>
  <si>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</si>
  <si>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</si>
  <si>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</si>
  <si>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</si>
  <si>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</si>
  <si>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</si>
  <si>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</si>
  <si>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</si>
  <si>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</si>
  <si>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</si>
  <si>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</si>
  <si>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</si>
  <si>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</si>
  <si>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</si>
  <si>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</si>
  <si>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</si>
  <si>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</si>
  <si>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</si>
  <si>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</si>
  <si>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</si>
  <si>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</si>
  <si>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</si>
  <si>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</si>
  <si>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</si>
  <si>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</si>
  <si>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</si>
  <si>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</si>
  <si>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</si>
  <si>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</si>
  <si>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</si>
  <si>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</si>
  <si>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</si>
  <si>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</si>
  <si>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</si>
  <si>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</si>
  <si>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</si>
  <si>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</si>
  <si>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</si>
  <si>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</si>
  <si>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</si>
  <si>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</si>
  <si>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</si>
  <si>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</si>
  <si>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</si>
  <si>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</si>
  <si>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</si>
  <si>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</si>
  <si>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</si>
  <si>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</si>
  <si>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</si>
  <si>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</si>
  <si>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</si>
  <si>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</si>
  <si>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</si>
  <si>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</si>
  <si>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</si>
  <si>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</si>
  <si>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</si>
  <si>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</si>
  <si>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</si>
  <si>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</si>
  <si>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</si>
  <si>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</si>
  <si>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</si>
  <si>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</si>
  <si>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</si>
  <si>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</si>
  <si>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</si>
  <si>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</si>
  <si>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</si>
  <si>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</si>
  <si>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</si>
  <si>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</si>
  <si>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</si>
  <si>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</si>
  <si>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</si>
  <si>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</si>
  <si>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</si>
  <si>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</si>
  <si>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</si>
  <si>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</si>
  <si>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</si>
  <si>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</si>
  <si>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</si>
  <si>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</si>
  <si>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</si>
  <si>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</si>
  <si>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</si>
  <si>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</si>
  <si>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</si>
  <si>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</si>
  <si>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</si>
  <si>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</si>
  <si>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</si>
  <si>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</si>
  <si>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</si>
  <si>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</si>
  <si>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</si>
  <si>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</si>
  <si>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</si>
  <si>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</si>
  <si>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</si>
  <si>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</si>
  <si>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</si>
  <si>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</si>
  <si>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</si>
  <si>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</si>
  <si>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</si>
  <si>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</si>
  <si>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</si>
  <si>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</si>
  <si>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</si>
  <si>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</si>
  <si>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</si>
  <si>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</si>
  <si>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</si>
  <si>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</si>
  <si>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</si>
  <si>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</si>
  <si>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</si>
  <si>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</si>
  <si>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</si>
  <si>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</si>
  <si>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</si>
  <si>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</si>
  <si>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</si>
  <si>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</si>
  <si>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</si>
  <si>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</si>
  <si>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</si>
  <si>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</si>
  <si>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</si>
  <si>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</si>
  <si>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</si>
  <si>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</si>
  <si>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</si>
  <si>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</si>
  <si>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</si>
  <si>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</si>
  <si>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</si>
  <si>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</si>
  <si>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</si>
  <si>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</si>
  <si>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</si>
  <si>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</si>
  <si>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</si>
  <si>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</si>
  <si>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</si>
  <si>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</si>
  <si>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</si>
  <si>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</si>
  <si>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</si>
  <si>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</si>
  <si>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</si>
  <si>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</si>
  <si>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</si>
  <si>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</si>
  <si>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</si>
  <si>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 xml:space="preserve">Total </t>
  </si>
  <si>
    <t>Mês</t>
  </si>
  <si>
    <t>Rótulos de Linha</t>
  </si>
  <si>
    <t>Total Geral</t>
  </si>
  <si>
    <t xml:space="preserve">Soma de Total </t>
  </si>
  <si>
    <t>jan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</si>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</sst>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[Dashboard_Vendas_Supermarket_Sales.xlsx]Ranking de produtos!Tabela dinâmica2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de Faturamento por Categoria de Produto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de produtos'!$B$3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'Ranking de produtos'!$A$4:$A$10</c:f>
              <c:strCache>
                <c:ptCount val="6"/>
                <c:pt idx="0">
                  <c:v>Electronic accessories</c:v>
                </c:pt>
                <c:pt idx="1">
                  <c:v>Sports and travel</c:v>
                </c:pt>
                <c:pt idx="2">
                  <c:v>Fashion accessories</c:v>
                </c:pt>
                <c:pt idx="3">
                  <c:v>Home and lifestyle</c:v>
                </c:pt>
                <c:pt idx="4">
                  <c:v>Food and beverages</c:v>
                </c:pt>
                <c:pt idx="5">
                  <c:v>Health and beauty</c:v>
                </c:pt>
              </c:strCache>
            </c:strRef>
          </c:cat>
          <c:val>
            <c:numRef>
              <c:f>'Ranking de produtos'!$B$4:$B$10</c:f>
              <c:numCache>
                <c:formatCode>"R$"\ #,##0.00</c:formatCode>
                <c:ptCount val="6"/>
                <c:pt idx="0">
                  <c:v>4849050</c:v>
                </c:pt>
                <c:pt idx="1">
                  <c:v>4816029</c:v>
                </c:pt>
                <c:pt idx="2">
                  <c:v>4798040</c:v>
                </c:pt>
                <c:pt idx="3">
                  <c:v>4753038</c:v>
                </c:pt>
                <c:pt idx="4">
                  <c:v>4539063</c:v>
                </c:pt>
                <c:pt idx="5">
                  <c:v>4077672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7-411D-A370-4A6A3C546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56896"/>
        <c:axId val="143055936"/>
      </c:barChart>
      <c:catAx>
        <c:axId val="14305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55936"/>
        <c:crosses val="autoZero"/>
        <c:auto val="1"/>
        <c:lblAlgn val="ctr"/>
        <c:lblOffset val="100"/>
        <c:noMultiLvlLbl val="0"/>
      </c:catAx>
      <c:valAx>
        <c:axId val="1430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5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[Dashboard_Vendas_Supermarket_Sales.xlsx]Onde vedemos +!Tabela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Performance de Vendas por Unidade (Filial)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'Onde vedemos +'!$B$3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'Onde vedemos +'!$A$4:$A$7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'Onde vedemos +'!$B$4:$B$7</c:f>
              <c:numCache>
                <c:formatCode>"R$"\ #,##0.00</c:formatCode>
                <c:ptCount val="3"/>
                <c:pt idx="0">
                  <c:v>9249695</c:v>
                </c:pt>
                <c:pt idx="1">
                  <c:v>9266573</c:v>
                </c:pt>
                <c:pt idx="2">
                  <c:v>9316624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A-42F7-8EBB-490EA948C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406944"/>
        <c:axId val="1088401664"/>
      </c:barChart>
      <c:catAx>
        <c:axId val="10884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401664"/>
        <c:crosses val="autoZero"/>
        <c:auto val="1"/>
        <c:lblAlgn val="ctr"/>
        <c:lblOffset val="100"/>
        <c:noMultiLvlLbl val="0"/>
      </c:catAx>
      <c:valAx>
        <c:axId val="10884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4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[Dashboard_Vendas_Supermarket_Sales.xlsx]Evolução do Faturamento Mensal 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do Faturamento Mensal (1º Trimestre de 2019)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'Evolução do Faturamento Mensal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'Evolução do Faturamento Mensal '!$A$4:$A$7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'Evolução do Faturamento Mensal '!$B$4:$B$7</c:f>
              <c:numCache>
                <c:formatCode>"R$"\ #,##0.00</c:formatCode>
                <c:ptCount val="3"/>
                <c:pt idx="0">
                  <c:v>10060315</c:v>
                </c:pt>
                <c:pt idx="1">
                  <c:v>8181211</c:v>
                </c:pt>
                <c:pt idx="2">
                  <c:v>9591366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0-4B28-910C-3A4523D05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709808"/>
        <c:axId val="1021364400"/>
      </c:lineChart>
      <c:catAx>
        <c:axId val="103170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364400"/>
        <c:crosses val="autoZero"/>
        <c:auto val="1"/>
        <c:lblAlgn val="ctr"/>
        <c:lblOffset val="100"/>
        <c:noMultiLvlLbl val="0"/>
      </c:catAx>
      <c:valAx>
        <c:axId val="10213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17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[Dashboard_Vendas_Supermarket_Sales.xlsx]Quem é nosso Cliente!Tabela dinâmica4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'Quem é nosso Cliente'!$B$3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'Quem é nosso Cliente'!$A$4:$A$6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'Quem é nosso Cliente'!$B$4:$B$6</c:f>
              <c:numCache>
                <c:formatCode>"R$"\ #,##0.00</c:formatCode>
                <c:ptCount val="2"/>
                <c:pt idx="0">
                  <c:v>16812877</c:v>
                </c:pt>
                <c:pt idx="1">
                  <c:v>11020015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412D-ACEE-C2871F22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8407904"/>
        <c:axId val="1088406464"/>
        <c:axId val="0"/>
      </c:bar3DChart>
      <c:catAx>
        <c:axId val="10884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406464"/>
        <c:crosses val="autoZero"/>
        <c:auto val="1"/>
        <c:lblAlgn val="ctr"/>
        <c:lblOffset val="100"/>
        <c:noMultiLvlLbl val="0"/>
      </c:catAx>
      <c:valAx>
        <c:axId val="10884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40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123825</xdr:colOff>
      <xdr:row>18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0F858-33DA-4E99-A010-FC2E2041B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0</xdr:row>
      <xdr:rowOff>152400</xdr:rowOff>
    </xdr:from>
    <xdr:to>
      <xdr:col>20</xdr:col>
      <xdr:colOff>233363</xdr:colOff>
      <xdr:row>17</xdr:row>
      <xdr:rowOff>119063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B17FEC-E7E5-483E-8555-F0BE9B8FC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20</xdr:row>
      <xdr:rowOff>47625</xdr:rowOff>
    </xdr:from>
    <xdr:to>
      <xdr:col>7</xdr:col>
      <xdr:colOff>419100</xdr:colOff>
      <xdr:row>34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77E5F5-A6A4-4E95-8218-C872B46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390525</xdr:colOff>
      <xdr:row>19</xdr:row>
      <xdr:rowOff>190499</xdr:rowOff>
    </xdr:from>
    <xdr:to>
      <xdr:col>18</xdr:col>
      <xdr:colOff>304800</xdr:colOff>
      <xdr:row>34</xdr:row>
      <xdr:rowOff>180974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6BFB8CF-702C-429F-BA40-5DF002297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1.387059375003" createdVersion="8" refreshedVersion="8" minRefreshableVersion="3" recordCount="1000" xr:uid="{6094B70B-F2B5-43E0-BC13-C6D67D926616}">
  <cacheSource type="worksheet">
    <worksheetSource name="SuperMarket_Analysis"/>
  </cacheSource>
  <cacheFields count="21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165">
      <sharedItems containsSemiMixedTypes="0" containsString="0" containsNumber="1" containsInteger="1" minValue="25" maxValue="9996"/>
    </cacheField>
    <cacheField name="Quantity" numFmtId="0">
      <sharedItems containsSemiMixedTypes="0" containsString="0" containsNumber="1" containsInteger="1" minValue="1" maxValue="10"/>
    </cacheField>
    <cacheField name="Tax 5%" numFmtId="165">
      <sharedItems containsSemiMixedTypes="0" containsString="0" containsNumber="1" containsInteger="1" minValue="29" maxValue="448785"/>
    </cacheField>
    <cacheField name="Sales" numFmtId="0">
      <sharedItems containsSemiMixedTypes="0" containsString="0" containsNumber="1" containsInteger="1" minValue="609" maxValue="9424485"/>
    </cacheField>
    <cacheField name="Mês" numFmtId="0">
      <sharedItems count="3">
        <s v="janeiro"/>
        <s v="março"/>
        <s v="fevereiro"/>
      </sharedItems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2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165">
      <sharedItems containsSemiMixedTypes="0" containsString="0" containsNumber="1" containsInteger="1" minValue="25" maxValue="89964"/>
    </cacheField>
    <cacheField name="gross margin percentage" numFmtId="0">
      <sharedItems containsSemiMixedTypes="0" containsString="0" containsNumber="1" containsInteger="1" minValue="4761904762" maxValue="4761904762"/>
    </cacheField>
    <cacheField name="gross income" numFmtId="165">
      <sharedItems containsSemiMixedTypes="0" containsString="0" containsNumber="1" containsInteger="1" minValue="29" maxValue="448785"/>
    </cacheField>
    <cacheField name="Rating" numFmtId="0">
      <sharedItems containsSemiMixedTypes="0" containsString="0" containsNumber="1" containsInteger="1" minValue="4" maxValue="99"/>
    </cacheField>
    <cacheField name="Total " numFmtId="165">
      <sharedItems containsSemiMixedTypes="0" containsString="0" containsNumber="1" containsInteger="1" minValue="25" maxValue="98980"/>
    </cacheField>
    <cacheField name="Dias (Date)" numFmtId="0" databaseField="0">
      <fieldGroup base="11">
        <rangePr groupBy="days" startDate="2019-01-01T00:00:00" endDate="2019-03-31T00:00:00"/>
        <groupItems count="368">
          <s v="&lt;01/01/2019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03/2019"/>
        </groupItems>
      </fieldGroup>
    </cacheField>
    <cacheField name="Meses (Date)" numFmtId="0" databaseField="0">
      <fieldGroup base="11">
        <rangePr groupBy="months" startDate="2019-01-01T00:00:00" endDate="2019-03-31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3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lex"/>
    <x v="0"/>
    <s v="Member"/>
    <x v="0"/>
    <x v="0"/>
    <n v="7469"/>
    <n v="7"/>
    <n v="261415"/>
    <n v="5489715"/>
    <x v="0"/>
    <x v="0"/>
    <d v="1899-12-30T13:08:00"/>
    <s v="Ewallet"/>
    <n v="52283"/>
    <n v="4761904762"/>
    <n v="261415"/>
    <n v="91"/>
    <n v="52283"/>
  </r>
  <r>
    <s v="226-31-3081"/>
    <s v="Giza"/>
    <x v="1"/>
    <s v="Normal"/>
    <x v="0"/>
    <x v="1"/>
    <n v="1528"/>
    <n v="5"/>
    <n v="382"/>
    <n v="8022"/>
    <x v="1"/>
    <x v="1"/>
    <d v="1899-12-30T10:29:00"/>
    <s v="Cash"/>
    <n v="764"/>
    <n v="4761904762"/>
    <n v="382"/>
    <n v="96"/>
    <n v="7640"/>
  </r>
  <r>
    <s v="631-41-3108"/>
    <s v="Alex"/>
    <x v="0"/>
    <s v="Normal"/>
    <x v="0"/>
    <x v="2"/>
    <n v="4633"/>
    <n v="7"/>
    <n v="162155"/>
    <n v="3405255"/>
    <x v="1"/>
    <x v="2"/>
    <d v="1899-12-30T13:23:00"/>
    <s v="Credit card"/>
    <n v="32431"/>
    <n v="4761904762"/>
    <n v="162155"/>
    <n v="74"/>
    <n v="32431"/>
  </r>
  <r>
    <s v="123-19-1176"/>
    <s v="Alex"/>
    <x v="0"/>
    <s v="Member"/>
    <x v="0"/>
    <x v="0"/>
    <n v="5822"/>
    <n v="8"/>
    <n v="23288"/>
    <n v="489048"/>
    <x v="0"/>
    <x v="3"/>
    <d v="1899-12-30T20:33:00"/>
    <s v="Ewallet"/>
    <n v="46576"/>
    <n v="4761904762"/>
    <n v="23288"/>
    <n v="84"/>
    <n v="46576"/>
  </r>
  <r>
    <s v="373-73-7910"/>
    <s v="Alex"/>
    <x v="0"/>
    <s v="Member"/>
    <x v="0"/>
    <x v="3"/>
    <n v="8631"/>
    <n v="7"/>
    <n v="302085"/>
    <n v="6343785"/>
    <x v="2"/>
    <x v="4"/>
    <d v="1899-12-30T10:37:00"/>
    <s v="Ewallet"/>
    <n v="60417"/>
    <n v="4761904762"/>
    <n v="302085"/>
    <n v="53"/>
    <n v="60417"/>
  </r>
  <r>
    <s v="699-14-3026"/>
    <s v="Giza"/>
    <x v="1"/>
    <s v="Member"/>
    <x v="0"/>
    <x v="1"/>
    <n v="8539"/>
    <n v="7"/>
    <n v="298865"/>
    <n v="6276165"/>
    <x v="1"/>
    <x v="5"/>
    <d v="1899-12-30T18:30:00"/>
    <s v="Ewallet"/>
    <n v="59773"/>
    <n v="4761904762"/>
    <n v="298865"/>
    <n v="41"/>
    <n v="59773"/>
  </r>
  <r>
    <s v="355-53-5943"/>
    <s v="Alex"/>
    <x v="0"/>
    <s v="Member"/>
    <x v="0"/>
    <x v="1"/>
    <n v="6884"/>
    <n v="6"/>
    <n v="20652"/>
    <n v="433692"/>
    <x v="2"/>
    <x v="6"/>
    <d v="1899-12-30T14:36:00"/>
    <s v="Ewallet"/>
    <n v="41304"/>
    <n v="4761904762"/>
    <n v="20652"/>
    <n v="58"/>
    <n v="41304"/>
  </r>
  <r>
    <s v="315-22-5665"/>
    <s v="Giza"/>
    <x v="1"/>
    <s v="Member"/>
    <x v="0"/>
    <x v="2"/>
    <n v="7356"/>
    <n v="10"/>
    <n v="3678"/>
    <n v="77238"/>
    <x v="2"/>
    <x v="7"/>
    <d v="1899-12-30T11:38:00"/>
    <s v="Ewallet"/>
    <n v="7356"/>
    <n v="4761904762"/>
    <n v="3678"/>
    <n v="8"/>
    <n v="73560"/>
  </r>
  <r>
    <s v="665-32-9167"/>
    <s v="Alex"/>
    <x v="0"/>
    <s v="Member"/>
    <x v="0"/>
    <x v="0"/>
    <n v="3626"/>
    <n v="2"/>
    <n v="3626"/>
    <n v="76146"/>
    <x v="0"/>
    <x v="8"/>
    <d v="1899-12-30T17:15:00"/>
    <s v="Credit card"/>
    <n v="7252"/>
    <n v="4761904762"/>
    <n v="3626"/>
    <n v="72"/>
    <n v="7252"/>
  </r>
  <r>
    <s v="692-92-5582"/>
    <s v="Cairo"/>
    <x v="2"/>
    <s v="Member"/>
    <x v="0"/>
    <x v="4"/>
    <n v="5484"/>
    <n v="3"/>
    <n v="8226"/>
    <n v="172746"/>
    <x v="2"/>
    <x v="9"/>
    <d v="1899-12-30T13:27:00"/>
    <s v="Credit card"/>
    <n v="16452"/>
    <n v="4761904762"/>
    <n v="8226"/>
    <n v="59"/>
    <n v="16452"/>
  </r>
  <r>
    <s v="351-62-0822"/>
    <s v="Cairo"/>
    <x v="2"/>
    <s v="Member"/>
    <x v="0"/>
    <x v="5"/>
    <n v="1448"/>
    <n v="4"/>
    <n v="2896"/>
    <n v="60816"/>
    <x v="2"/>
    <x v="10"/>
    <d v="1899-12-30T18:07:00"/>
    <s v="Ewallet"/>
    <n v="5792"/>
    <n v="4761904762"/>
    <n v="2896"/>
    <n v="45"/>
    <n v="5792"/>
  </r>
  <r>
    <s v="529-56-3974"/>
    <s v="Cairo"/>
    <x v="2"/>
    <s v="Member"/>
    <x v="0"/>
    <x v="1"/>
    <n v="2551"/>
    <n v="4"/>
    <n v="5102"/>
    <n v="107142"/>
    <x v="1"/>
    <x v="11"/>
    <d v="1899-12-30T17:03:00"/>
    <s v="Cash"/>
    <n v="10204"/>
    <n v="4761904762"/>
    <n v="5102"/>
    <n v="68"/>
    <n v="10204"/>
  </r>
  <r>
    <s v="365-64-0515"/>
    <s v="Alex"/>
    <x v="0"/>
    <s v="Member"/>
    <x v="0"/>
    <x v="1"/>
    <n v="4695"/>
    <n v="5"/>
    <n v="117375"/>
    <n v="2464875"/>
    <x v="2"/>
    <x v="12"/>
    <d v="1899-12-30T10:25:00"/>
    <s v="Ewallet"/>
    <n v="23475"/>
    <n v="4761904762"/>
    <n v="117375"/>
    <n v="71"/>
    <n v="23475"/>
  </r>
  <r>
    <s v="252-56-2699"/>
    <s v="Alex"/>
    <x v="0"/>
    <s v="Member"/>
    <x v="0"/>
    <x v="4"/>
    <n v="4319"/>
    <n v="10"/>
    <n v="21595"/>
    <n v="453495"/>
    <x v="2"/>
    <x v="13"/>
    <d v="1899-12-30T16:48:00"/>
    <s v="Ewallet"/>
    <n v="4319"/>
    <n v="4761904762"/>
    <n v="21595"/>
    <n v="82"/>
    <n v="43190"/>
  </r>
  <r>
    <s v="829-34-3910"/>
    <s v="Alex"/>
    <x v="0"/>
    <s v="Member"/>
    <x v="0"/>
    <x v="0"/>
    <n v="7138"/>
    <n v="10"/>
    <n v="3569"/>
    <n v="74949"/>
    <x v="1"/>
    <x v="14"/>
    <d v="1899-12-30T19:21:00"/>
    <s v="Cash"/>
    <n v="7138"/>
    <n v="4761904762"/>
    <n v="3569"/>
    <n v="57"/>
    <n v="71380"/>
  </r>
  <r>
    <s v="299-46-1805"/>
    <s v="Cairo"/>
    <x v="2"/>
    <s v="Member"/>
    <x v="0"/>
    <x v="3"/>
    <n v="9372"/>
    <n v="6"/>
    <n v="28116"/>
    <n v="590436"/>
    <x v="0"/>
    <x v="15"/>
    <d v="1899-12-30T16:19:00"/>
    <s v="Cash"/>
    <n v="56232"/>
    <n v="4761904762"/>
    <n v="28116"/>
    <n v="45"/>
    <n v="56232"/>
  </r>
  <r>
    <s v="656-95-9349"/>
    <s v="Alex"/>
    <x v="0"/>
    <s v="Member"/>
    <x v="0"/>
    <x v="0"/>
    <n v="6893"/>
    <n v="7"/>
    <n v="241255"/>
    <n v="5066355"/>
    <x v="1"/>
    <x v="16"/>
    <d v="1899-12-30T11:03:00"/>
    <s v="Credit card"/>
    <n v="48251"/>
    <n v="4761904762"/>
    <n v="241255"/>
    <n v="46"/>
    <n v="48251"/>
  </r>
  <r>
    <s v="765-26-6951"/>
    <s v="Alex"/>
    <x v="0"/>
    <s v="Member"/>
    <x v="0"/>
    <x v="3"/>
    <n v="7261"/>
    <n v="6"/>
    <n v="21783"/>
    <n v="457443"/>
    <x v="0"/>
    <x v="17"/>
    <d v="1899-12-30T10:39:00"/>
    <s v="Credit card"/>
    <n v="43566"/>
    <n v="4761904762"/>
    <n v="21783"/>
    <n v="69"/>
    <n v="43566"/>
  </r>
  <r>
    <s v="329-62-1586"/>
    <s v="Alex"/>
    <x v="0"/>
    <s v="Member"/>
    <x v="0"/>
    <x v="4"/>
    <n v="5467"/>
    <n v="3"/>
    <n v="82005"/>
    <n v="1722105"/>
    <x v="0"/>
    <x v="18"/>
    <d v="1899-12-30T18:00:00"/>
    <s v="Credit card"/>
    <n v="16401"/>
    <n v="4761904762"/>
    <n v="82005"/>
    <n v="86"/>
    <n v="16401"/>
  </r>
  <r>
    <s v="319-50-3348"/>
    <s v="Cairo"/>
    <x v="2"/>
    <s v="Member"/>
    <x v="0"/>
    <x v="2"/>
    <n v="403"/>
    <n v="2"/>
    <n v="403"/>
    <n v="8463"/>
    <x v="1"/>
    <x v="16"/>
    <d v="1899-12-30T15:30:00"/>
    <s v="Ewallet"/>
    <n v="806"/>
    <n v="4761904762"/>
    <n v="403"/>
    <n v="44"/>
    <n v="806"/>
  </r>
  <r>
    <s v="300-71-4605"/>
    <s v="Giza"/>
    <x v="1"/>
    <s v="Member"/>
    <x v="0"/>
    <x v="1"/>
    <n v="8604"/>
    <n v="5"/>
    <n v="2151"/>
    <n v="45171"/>
    <x v="2"/>
    <x v="6"/>
    <d v="1899-12-30T11:24:00"/>
    <s v="Ewallet"/>
    <n v="4302"/>
    <n v="4761904762"/>
    <n v="2151"/>
    <n v="48"/>
    <n v="43020"/>
  </r>
  <r>
    <s v="371-85-5789"/>
    <s v="Cairo"/>
    <x v="2"/>
    <s v="Member"/>
    <x v="0"/>
    <x v="0"/>
    <n v="8798"/>
    <n v="3"/>
    <n v="13197"/>
    <n v="277137"/>
    <x v="1"/>
    <x v="19"/>
    <d v="1899-12-30T10:40:00"/>
    <s v="Ewallet"/>
    <n v="26394"/>
    <n v="4761904762"/>
    <n v="13197"/>
    <n v="51"/>
    <n v="26394"/>
  </r>
  <r>
    <s v="273-16-6619"/>
    <s v="Cairo"/>
    <x v="2"/>
    <s v="Member"/>
    <x v="0"/>
    <x v="2"/>
    <n v="332"/>
    <n v="2"/>
    <n v="332"/>
    <n v="6972"/>
    <x v="1"/>
    <x v="20"/>
    <d v="1899-12-30T12:20:00"/>
    <s v="Credit card"/>
    <n v="664"/>
    <n v="4761904762"/>
    <n v="332"/>
    <n v="44"/>
    <n v="664"/>
  </r>
  <r>
    <s v="636-48-8204"/>
    <s v="Alex"/>
    <x v="0"/>
    <s v="Member"/>
    <x v="0"/>
    <x v="1"/>
    <n v="3456"/>
    <n v="5"/>
    <n v="864"/>
    <n v="18144"/>
    <x v="2"/>
    <x v="21"/>
    <d v="1899-12-30T11:15:00"/>
    <s v="Ewallet"/>
    <n v="1728"/>
    <n v="4761904762"/>
    <n v="864"/>
    <n v="99"/>
    <n v="17280"/>
  </r>
  <r>
    <s v="549-59-1358"/>
    <s v="Alex"/>
    <x v="0"/>
    <s v="Member"/>
    <x v="0"/>
    <x v="3"/>
    <n v="8863"/>
    <n v="3"/>
    <n v="132945"/>
    <n v="2791845"/>
    <x v="1"/>
    <x v="22"/>
    <d v="1899-12-30T17:36:00"/>
    <s v="Ewallet"/>
    <n v="26589"/>
    <n v="4761904762"/>
    <n v="132945"/>
    <n v="6"/>
    <n v="26589"/>
  </r>
  <r>
    <s v="227-03-5010"/>
    <s v="Alex"/>
    <x v="0"/>
    <s v="Member"/>
    <x v="0"/>
    <x v="2"/>
    <n v="5259"/>
    <n v="8"/>
    <n v="21036"/>
    <n v="441756"/>
    <x v="1"/>
    <x v="23"/>
    <d v="1899-12-30T19:20:00"/>
    <s v="Credit card"/>
    <n v="42072"/>
    <n v="4761904762"/>
    <n v="21036"/>
    <n v="85"/>
    <n v="42072"/>
  </r>
  <r>
    <s v="649-29-6775"/>
    <s v="Cairo"/>
    <x v="2"/>
    <s v="Member"/>
    <x v="0"/>
    <x v="5"/>
    <n v="3352"/>
    <n v="1"/>
    <n v="1676"/>
    <n v="35196"/>
    <x v="2"/>
    <x v="4"/>
    <d v="1899-12-30T15:31:00"/>
    <s v="Cash"/>
    <n v="3352"/>
    <n v="4761904762"/>
    <n v="1676"/>
    <n v="67"/>
    <n v="3352"/>
  </r>
  <r>
    <s v="189-17-4241"/>
    <s v="Alex"/>
    <x v="0"/>
    <s v="Member"/>
    <x v="0"/>
    <x v="5"/>
    <n v="8767"/>
    <n v="2"/>
    <n v="8767"/>
    <n v="184107"/>
    <x v="1"/>
    <x v="24"/>
    <d v="1899-12-30T12:17:00"/>
    <s v="Credit card"/>
    <n v="17534"/>
    <n v="4761904762"/>
    <n v="8767"/>
    <n v="77"/>
    <n v="17534"/>
  </r>
  <r>
    <s v="145-94-9061"/>
    <s v="Cairo"/>
    <x v="2"/>
    <s v="Member"/>
    <x v="0"/>
    <x v="4"/>
    <n v="8836"/>
    <n v="5"/>
    <n v="2209"/>
    <n v="46389"/>
    <x v="0"/>
    <x v="25"/>
    <d v="1899-12-30T19:48:00"/>
    <s v="Cash"/>
    <n v="4418"/>
    <n v="4761904762"/>
    <n v="2209"/>
    <n v="96"/>
    <n v="44180"/>
  </r>
  <r>
    <s v="848-62-7243"/>
    <s v="Alex"/>
    <x v="0"/>
    <s v="Member"/>
    <x v="0"/>
    <x v="0"/>
    <n v="2489"/>
    <n v="9"/>
    <n v="112005"/>
    <n v="2352105"/>
    <x v="1"/>
    <x v="20"/>
    <d v="1899-12-30T15:36:00"/>
    <s v="Cash"/>
    <n v="22401"/>
    <n v="4761904762"/>
    <n v="112005"/>
    <n v="74"/>
    <n v="22401"/>
  </r>
  <r>
    <s v="871-79-8483"/>
    <s v="Cairo"/>
    <x v="2"/>
    <s v="Member"/>
    <x v="0"/>
    <x v="5"/>
    <n v="9413"/>
    <n v="5"/>
    <n v="235325"/>
    <n v="4941825"/>
    <x v="2"/>
    <x v="6"/>
    <d v="1899-12-30T19:39:00"/>
    <s v="Credit card"/>
    <n v="47065"/>
    <n v="4761904762"/>
    <n v="235325"/>
    <n v="48"/>
    <n v="47065"/>
  </r>
  <r>
    <s v="149-71-6266"/>
    <s v="Cairo"/>
    <x v="2"/>
    <s v="Member"/>
    <x v="0"/>
    <x v="3"/>
    <n v="7807"/>
    <n v="9"/>
    <n v="351315"/>
    <n v="7377615"/>
    <x v="0"/>
    <x v="26"/>
    <d v="1899-12-30T12:43:00"/>
    <s v="Cash"/>
    <n v="70263"/>
    <n v="4761904762"/>
    <n v="351315"/>
    <n v="45"/>
    <n v="70263"/>
  </r>
  <r>
    <s v="640-49-2076"/>
    <s v="Cairo"/>
    <x v="2"/>
    <s v="Member"/>
    <x v="0"/>
    <x v="3"/>
    <n v="8378"/>
    <n v="8"/>
    <n v="33512"/>
    <n v="703752"/>
    <x v="0"/>
    <x v="8"/>
    <d v="1899-12-30T14:49:00"/>
    <s v="Cash"/>
    <n v="67024"/>
    <n v="4761904762"/>
    <n v="33512"/>
    <n v="51"/>
    <n v="67024"/>
  </r>
  <r>
    <s v="595-11-5460"/>
    <s v="Alex"/>
    <x v="0"/>
    <s v="Member"/>
    <x v="0"/>
    <x v="0"/>
    <n v="9658"/>
    <n v="2"/>
    <n v="9658"/>
    <n v="202818"/>
    <x v="1"/>
    <x v="20"/>
    <d v="1899-12-30T10:12:00"/>
    <s v="Credit card"/>
    <n v="19316"/>
    <n v="4761904762"/>
    <n v="9658"/>
    <n v="51"/>
    <n v="19316"/>
  </r>
  <r>
    <s v="183-56-6882"/>
    <s v="Giza"/>
    <x v="1"/>
    <s v="Member"/>
    <x v="0"/>
    <x v="4"/>
    <n v="9942"/>
    <n v="4"/>
    <n v="19884"/>
    <n v="417564"/>
    <x v="2"/>
    <x v="10"/>
    <d v="1899-12-30T10:42:00"/>
    <s v="Ewallet"/>
    <n v="39768"/>
    <n v="4761904762"/>
    <n v="19884"/>
    <n v="75"/>
    <n v="39768"/>
  </r>
  <r>
    <s v="232-16-2483"/>
    <s v="Giza"/>
    <x v="1"/>
    <s v="Member"/>
    <x v="0"/>
    <x v="3"/>
    <n v="6812"/>
    <n v="1"/>
    <n v="3406"/>
    <n v="71526"/>
    <x v="0"/>
    <x v="27"/>
    <d v="1899-12-30T12:28:00"/>
    <s v="Ewallet"/>
    <n v="6812"/>
    <n v="4761904762"/>
    <n v="3406"/>
    <n v="68"/>
    <n v="6812"/>
  </r>
  <r>
    <s v="129-29-8530"/>
    <s v="Alex"/>
    <x v="0"/>
    <s v="Member"/>
    <x v="0"/>
    <x v="3"/>
    <n v="6262"/>
    <n v="5"/>
    <n v="15655"/>
    <n v="328755"/>
    <x v="1"/>
    <x v="24"/>
    <d v="1899-12-30T19:15:00"/>
    <s v="Ewallet"/>
    <n v="3131"/>
    <n v="4761904762"/>
    <n v="15655"/>
    <n v="7"/>
    <n v="31310"/>
  </r>
  <r>
    <s v="272-65-1806"/>
    <s v="Alex"/>
    <x v="0"/>
    <s v="Member"/>
    <x v="0"/>
    <x v="1"/>
    <n v="6088"/>
    <n v="9"/>
    <n v="27396"/>
    <n v="575316"/>
    <x v="0"/>
    <x v="15"/>
    <d v="1899-12-30T17:17:00"/>
    <s v="Ewallet"/>
    <n v="54792"/>
    <n v="4761904762"/>
    <n v="27396"/>
    <n v="47"/>
    <n v="54792"/>
  </r>
  <r>
    <s v="333-73-7901"/>
    <s v="Giza"/>
    <x v="1"/>
    <s v="Member"/>
    <x v="0"/>
    <x v="0"/>
    <n v="5492"/>
    <n v="8"/>
    <n v="21968"/>
    <n v="461328"/>
    <x v="1"/>
    <x v="28"/>
    <d v="1899-12-30T13:24:00"/>
    <s v="Ewallet"/>
    <n v="43936"/>
    <n v="4761904762"/>
    <n v="21968"/>
    <n v="76"/>
    <n v="43936"/>
  </r>
  <r>
    <s v="777-82-7220"/>
    <s v="Cairo"/>
    <x v="2"/>
    <s v="Member"/>
    <x v="0"/>
    <x v="2"/>
    <n v="3012"/>
    <n v="8"/>
    <n v="12048"/>
    <n v="253008"/>
    <x v="1"/>
    <x v="2"/>
    <d v="1899-12-30T13:01:00"/>
    <s v="Cash"/>
    <n v="24096"/>
    <n v="4761904762"/>
    <n v="12048"/>
    <n v="77"/>
    <n v="24096"/>
  </r>
  <r>
    <s v="280-35-5823"/>
    <s v="Cairo"/>
    <x v="2"/>
    <s v="Member"/>
    <x v="0"/>
    <x v="2"/>
    <n v="8672"/>
    <n v="1"/>
    <n v="4336"/>
    <n v="91056"/>
    <x v="0"/>
    <x v="29"/>
    <d v="1899-12-30T18:45:00"/>
    <s v="Ewallet"/>
    <n v="8672"/>
    <n v="4761904762"/>
    <n v="4336"/>
    <n v="79"/>
    <n v="8672"/>
  </r>
  <r>
    <s v="554-53-8700"/>
    <s v="Giza"/>
    <x v="1"/>
    <s v="Member"/>
    <x v="0"/>
    <x v="2"/>
    <n v="5611"/>
    <n v="2"/>
    <n v="5611"/>
    <n v="117831"/>
    <x v="2"/>
    <x v="30"/>
    <d v="1899-12-30T10:11:00"/>
    <s v="Cash"/>
    <n v="11222"/>
    <n v="4761904762"/>
    <n v="5611"/>
    <n v="63"/>
    <n v="11222"/>
  </r>
  <r>
    <s v="354-25-5821"/>
    <s v="Cairo"/>
    <x v="2"/>
    <s v="Member"/>
    <x v="0"/>
    <x v="3"/>
    <n v="6912"/>
    <n v="6"/>
    <n v="20736"/>
    <n v="435456"/>
    <x v="2"/>
    <x v="4"/>
    <d v="1899-12-30T13:03:00"/>
    <s v="Cash"/>
    <n v="41472"/>
    <n v="4761904762"/>
    <n v="20736"/>
    <n v="56"/>
    <n v="41472"/>
  </r>
  <r>
    <s v="228-96-1411"/>
    <s v="Giza"/>
    <x v="1"/>
    <s v="Member"/>
    <x v="0"/>
    <x v="4"/>
    <n v="987"/>
    <n v="8"/>
    <n v="3948"/>
    <n v="82908"/>
    <x v="1"/>
    <x v="31"/>
    <d v="1899-12-30T20:39:00"/>
    <s v="Cash"/>
    <n v="7896"/>
    <n v="4761904762"/>
    <n v="3948"/>
    <n v="76"/>
    <n v="7896"/>
  </r>
  <r>
    <s v="617-15-4209"/>
    <s v="Giza"/>
    <x v="1"/>
    <s v="Member"/>
    <x v="0"/>
    <x v="0"/>
    <n v="1537"/>
    <n v="2"/>
    <n v="1537"/>
    <n v="32277"/>
    <x v="1"/>
    <x v="32"/>
    <d v="1899-12-30T19:47:00"/>
    <s v="Cash"/>
    <n v="3074"/>
    <n v="4761904762"/>
    <n v="1537"/>
    <n v="72"/>
    <n v="3074"/>
  </r>
  <r>
    <s v="132-32-9879"/>
    <s v="Cairo"/>
    <x v="2"/>
    <s v="Member"/>
    <x v="0"/>
    <x v="1"/>
    <n v="9396"/>
    <n v="4"/>
    <n v="18792"/>
    <n v="394632"/>
    <x v="1"/>
    <x v="11"/>
    <d v="1899-12-30T18:00:00"/>
    <s v="Cash"/>
    <n v="37584"/>
    <n v="4761904762"/>
    <n v="18792"/>
    <n v="95"/>
    <n v="37584"/>
  </r>
  <r>
    <s v="370-41-7321"/>
    <s v="Cairo"/>
    <x v="2"/>
    <s v="Member"/>
    <x v="0"/>
    <x v="0"/>
    <n v="5669"/>
    <n v="9"/>
    <n v="255105"/>
    <n v="5357205"/>
    <x v="2"/>
    <x v="33"/>
    <d v="1899-12-30T17:24:00"/>
    <s v="Credit card"/>
    <n v="51021"/>
    <n v="4761904762"/>
    <n v="255105"/>
    <n v="84"/>
    <n v="51021"/>
  </r>
  <r>
    <s v="727-46-3608"/>
    <s v="Cairo"/>
    <x v="2"/>
    <s v="Member"/>
    <x v="0"/>
    <x v="4"/>
    <n v="2001"/>
    <n v="9"/>
    <n v="90045"/>
    <n v="1890945"/>
    <x v="2"/>
    <x v="10"/>
    <d v="1899-12-30T15:47:00"/>
    <s v="Ewallet"/>
    <n v="18009"/>
    <n v="4761904762"/>
    <n v="90045"/>
    <n v="41"/>
    <n v="18009"/>
  </r>
  <r>
    <s v="669-54-1719"/>
    <s v="Cairo"/>
    <x v="2"/>
    <s v="Member"/>
    <x v="0"/>
    <x v="1"/>
    <n v="1893"/>
    <n v="6"/>
    <n v="5679"/>
    <n v="119259"/>
    <x v="2"/>
    <x v="34"/>
    <d v="1899-12-30T12:45:00"/>
    <s v="Credit card"/>
    <n v="11358"/>
    <n v="4761904762"/>
    <n v="5679"/>
    <n v="81"/>
    <n v="11358"/>
  </r>
  <r>
    <s v="574-22-5561"/>
    <s v="Giza"/>
    <x v="1"/>
    <s v="Member"/>
    <x v="0"/>
    <x v="5"/>
    <n v="8263"/>
    <n v="10"/>
    <n v="41315"/>
    <n v="867615"/>
    <x v="1"/>
    <x v="35"/>
    <d v="1899-12-30T17:08:00"/>
    <s v="Ewallet"/>
    <n v="8263"/>
    <n v="4761904762"/>
    <n v="41315"/>
    <n v="79"/>
    <n v="82630"/>
  </r>
  <r>
    <s v="326-78-5178"/>
    <s v="Giza"/>
    <x v="1"/>
    <s v="Member"/>
    <x v="0"/>
    <x v="4"/>
    <n v="914"/>
    <n v="7"/>
    <n v="3199"/>
    <n v="67179"/>
    <x v="2"/>
    <x v="36"/>
    <d v="1899-12-30T10:19:00"/>
    <s v="Cash"/>
    <n v="6398"/>
    <n v="4761904762"/>
    <n v="3199"/>
    <n v="95"/>
    <n v="6398"/>
  </r>
  <r>
    <s v="162-48-8011"/>
    <s v="Alex"/>
    <x v="0"/>
    <s v="Member"/>
    <x v="0"/>
    <x v="4"/>
    <n v="4459"/>
    <n v="5"/>
    <n v="111475"/>
    <n v="2340975"/>
    <x v="2"/>
    <x v="34"/>
    <d v="1899-12-30T15:10:00"/>
    <s v="Cash"/>
    <n v="22295"/>
    <n v="4761904762"/>
    <n v="111475"/>
    <n v="85"/>
    <n v="22295"/>
  </r>
  <r>
    <s v="616-24-2851"/>
    <s v="Cairo"/>
    <x v="2"/>
    <s v="Member"/>
    <x v="0"/>
    <x v="5"/>
    <n v="1787"/>
    <n v="4"/>
    <n v="3574"/>
    <n v="75054"/>
    <x v="1"/>
    <x v="23"/>
    <d v="1899-12-30T14:42:00"/>
    <s v="Ewallet"/>
    <n v="7148"/>
    <n v="4761904762"/>
    <n v="3574"/>
    <n v="65"/>
    <n v="7148"/>
  </r>
  <r>
    <s v="778-71-5554"/>
    <s v="Giza"/>
    <x v="1"/>
    <s v="Member"/>
    <x v="0"/>
    <x v="5"/>
    <n v="1543"/>
    <n v="1"/>
    <n v="7715"/>
    <n v="162015"/>
    <x v="0"/>
    <x v="25"/>
    <d v="1899-12-30T15:46:00"/>
    <s v="Credit card"/>
    <n v="1543"/>
    <n v="4761904762"/>
    <n v="7715"/>
    <n v="61"/>
    <n v="1543"/>
  </r>
  <r>
    <s v="242-55-6721"/>
    <s v="Cairo"/>
    <x v="2"/>
    <s v="Member"/>
    <x v="0"/>
    <x v="2"/>
    <n v="1616"/>
    <n v="2"/>
    <n v="1616"/>
    <n v="33936"/>
    <x v="1"/>
    <x v="37"/>
    <d v="1899-12-30T11:49:00"/>
    <s v="Ewallet"/>
    <n v="3232"/>
    <n v="4761904762"/>
    <n v="1616"/>
    <n v="65"/>
    <n v="3232"/>
  </r>
  <r>
    <s v="399-46-5918"/>
    <s v="Giza"/>
    <x v="1"/>
    <s v="Member"/>
    <x v="0"/>
    <x v="1"/>
    <n v="8598"/>
    <n v="8"/>
    <n v="34392"/>
    <n v="722232"/>
    <x v="2"/>
    <x v="38"/>
    <d v="1899-12-30T19:01:00"/>
    <s v="Cash"/>
    <n v="68784"/>
    <n v="4761904762"/>
    <n v="34392"/>
    <n v="82"/>
    <n v="68784"/>
  </r>
  <r>
    <s v="106-35-6779"/>
    <s v="Alex"/>
    <x v="0"/>
    <s v="Member"/>
    <x v="0"/>
    <x v="2"/>
    <n v="4434"/>
    <n v="2"/>
    <n v="4434"/>
    <n v="93114"/>
    <x v="1"/>
    <x v="39"/>
    <d v="1899-12-30T11:26:00"/>
    <s v="Cash"/>
    <n v="8868"/>
    <n v="4761904762"/>
    <n v="4434"/>
    <n v="58"/>
    <n v="8868"/>
  </r>
  <r>
    <s v="635-40-6220"/>
    <s v="Alex"/>
    <x v="0"/>
    <s v="Member"/>
    <x v="0"/>
    <x v="0"/>
    <n v="896"/>
    <n v="8"/>
    <n v="3584"/>
    <n v="75264"/>
    <x v="2"/>
    <x v="13"/>
    <d v="1899-12-30T11:28:00"/>
    <s v="Ewallet"/>
    <n v="7168"/>
    <n v="4761904762"/>
    <n v="3584"/>
    <n v="66"/>
    <n v="7168"/>
  </r>
  <r>
    <s v="817-48-8732"/>
    <s v="Alex"/>
    <x v="0"/>
    <s v="Member"/>
    <x v="0"/>
    <x v="2"/>
    <n v="7235"/>
    <n v="10"/>
    <n v="36175"/>
    <n v="759675"/>
    <x v="0"/>
    <x v="40"/>
    <d v="1899-12-30T15:55:00"/>
    <s v="Cash"/>
    <n v="7235"/>
    <n v="4761904762"/>
    <n v="36175"/>
    <n v="54"/>
    <n v="72350"/>
  </r>
  <r>
    <s v="120-06-4233"/>
    <s v="Giza"/>
    <x v="1"/>
    <s v="Member"/>
    <x v="0"/>
    <x v="1"/>
    <n v="3061"/>
    <n v="6"/>
    <n v="9183"/>
    <n v="192843"/>
    <x v="1"/>
    <x v="41"/>
    <d v="1899-12-30T20:36:00"/>
    <s v="Cash"/>
    <n v="18366"/>
    <n v="4761904762"/>
    <n v="9183"/>
    <n v="93"/>
    <n v="18366"/>
  </r>
  <r>
    <s v="285-68-5083"/>
    <s v="Giza"/>
    <x v="1"/>
    <s v="Member"/>
    <x v="0"/>
    <x v="3"/>
    <n v="2474"/>
    <n v="3"/>
    <n v="3711"/>
    <n v="77931"/>
    <x v="2"/>
    <x v="42"/>
    <d v="1899-12-30T17:47:00"/>
    <s v="Credit card"/>
    <n v="7422"/>
    <n v="4761904762"/>
    <n v="3711"/>
    <n v="10"/>
    <n v="7422"/>
  </r>
  <r>
    <s v="803-83-5989"/>
    <s v="Giza"/>
    <x v="1"/>
    <s v="Member"/>
    <x v="0"/>
    <x v="2"/>
    <n v="5573"/>
    <n v="6"/>
    <n v="16719"/>
    <n v="351099"/>
    <x v="2"/>
    <x v="7"/>
    <d v="1899-12-30T10:55:00"/>
    <s v="Ewallet"/>
    <n v="33438"/>
    <n v="4761904762"/>
    <n v="16719"/>
    <n v="7"/>
    <n v="33438"/>
  </r>
  <r>
    <s v="347-34-2234"/>
    <s v="Cairo"/>
    <x v="2"/>
    <s v="Member"/>
    <x v="0"/>
    <x v="3"/>
    <n v="5507"/>
    <n v="9"/>
    <n v="247815"/>
    <n v="5204115"/>
    <x v="2"/>
    <x v="36"/>
    <d v="1899-12-30T13:40:00"/>
    <s v="Ewallet"/>
    <n v="49563"/>
    <n v="4761904762"/>
    <n v="247815"/>
    <n v="10"/>
    <n v="49563"/>
  </r>
  <r>
    <s v="199-75-8169"/>
    <s v="Alex"/>
    <x v="0"/>
    <s v="Member"/>
    <x v="0"/>
    <x v="3"/>
    <n v="1581"/>
    <n v="10"/>
    <n v="7905"/>
    <n v="166005"/>
    <x v="1"/>
    <x v="43"/>
    <d v="1899-12-30T12:27:00"/>
    <s v="Credit card"/>
    <n v="1581"/>
    <n v="4761904762"/>
    <n v="7905"/>
    <n v="86"/>
    <n v="15810"/>
  </r>
  <r>
    <s v="853-23-2453"/>
    <s v="Cairo"/>
    <x v="2"/>
    <s v="Member"/>
    <x v="0"/>
    <x v="0"/>
    <n v="7574"/>
    <n v="4"/>
    <n v="15148"/>
    <n v="318108"/>
    <x v="2"/>
    <x v="44"/>
    <d v="1899-12-30T14:35:00"/>
    <s v="Cash"/>
    <n v="30296"/>
    <n v="4761904762"/>
    <n v="15148"/>
    <n v="76"/>
    <n v="30296"/>
  </r>
  <r>
    <s v="877-22-3308"/>
    <s v="Alex"/>
    <x v="0"/>
    <s v="Member"/>
    <x v="0"/>
    <x v="0"/>
    <n v="1587"/>
    <n v="10"/>
    <n v="7935"/>
    <n v="166635"/>
    <x v="1"/>
    <x v="45"/>
    <d v="1899-12-30T16:40:00"/>
    <s v="Cash"/>
    <n v="1587"/>
    <n v="4761904762"/>
    <n v="7935"/>
    <n v="58"/>
    <n v="15870"/>
  </r>
  <r>
    <s v="838-78-4295"/>
    <s v="Giza"/>
    <x v="1"/>
    <s v="Member"/>
    <x v="0"/>
    <x v="0"/>
    <n v="3347"/>
    <n v="2"/>
    <n v="3347"/>
    <n v="70287"/>
    <x v="2"/>
    <x v="34"/>
    <d v="1899-12-30T15:43:00"/>
    <s v="Ewallet"/>
    <n v="6694"/>
    <n v="4761904762"/>
    <n v="3347"/>
    <n v="67"/>
    <n v="6694"/>
  </r>
  <r>
    <s v="109-28-2512"/>
    <s v="Cairo"/>
    <x v="2"/>
    <s v="Member"/>
    <x v="0"/>
    <x v="5"/>
    <n v="9761"/>
    <n v="6"/>
    <n v="29283"/>
    <n v="614943"/>
    <x v="0"/>
    <x v="27"/>
    <d v="1899-12-30T15:01:00"/>
    <s v="Ewallet"/>
    <n v="58566"/>
    <n v="4761904762"/>
    <n v="29283"/>
    <n v="99"/>
    <n v="58566"/>
  </r>
  <r>
    <s v="232-11-3025"/>
    <s v="Alex"/>
    <x v="0"/>
    <s v="Member"/>
    <x v="0"/>
    <x v="3"/>
    <n v="7877"/>
    <n v="10"/>
    <n v="39385"/>
    <n v="827085"/>
    <x v="0"/>
    <x v="46"/>
    <d v="1899-12-30T10:04:00"/>
    <s v="Cash"/>
    <n v="7877"/>
    <n v="4761904762"/>
    <n v="39385"/>
    <n v="64"/>
    <n v="78770"/>
  </r>
  <r>
    <s v="382-03-4532"/>
    <s v="Alex"/>
    <x v="0"/>
    <s v="Member"/>
    <x v="0"/>
    <x v="0"/>
    <n v="1833"/>
    <n v="1"/>
    <n v="9165"/>
    <n v="192465"/>
    <x v="2"/>
    <x v="30"/>
    <d v="1899-12-30T18:50:00"/>
    <s v="Cash"/>
    <n v="1833"/>
    <n v="4761904762"/>
    <n v="9165"/>
    <n v="43"/>
    <n v="1833"/>
  </r>
  <r>
    <s v="393-65-2792"/>
    <s v="Giza"/>
    <x v="1"/>
    <s v="Member"/>
    <x v="0"/>
    <x v="4"/>
    <n v="8948"/>
    <n v="10"/>
    <n v="4474"/>
    <n v="93954"/>
    <x v="0"/>
    <x v="47"/>
    <d v="1899-12-30T12:46:00"/>
    <s v="Credit card"/>
    <n v="8948"/>
    <n v="4761904762"/>
    <n v="4474"/>
    <n v="96"/>
    <n v="89480"/>
  </r>
  <r>
    <s v="796-12-2025"/>
    <s v="Giza"/>
    <x v="1"/>
    <s v="Member"/>
    <x v="0"/>
    <x v="5"/>
    <n v="6212"/>
    <n v="10"/>
    <n v="3106"/>
    <n v="65226"/>
    <x v="2"/>
    <x v="48"/>
    <d v="1899-12-30T16:19:00"/>
    <s v="Cash"/>
    <n v="6212"/>
    <n v="4761904762"/>
    <n v="3106"/>
    <n v="59"/>
    <n v="62120"/>
  </r>
  <r>
    <s v="510-95-6347"/>
    <s v="Cairo"/>
    <x v="2"/>
    <s v="Member"/>
    <x v="0"/>
    <x v="4"/>
    <n v="4852"/>
    <n v="3"/>
    <n v="7278"/>
    <n v="152838"/>
    <x v="1"/>
    <x v="19"/>
    <d v="1899-12-30T18:17:00"/>
    <s v="Ewallet"/>
    <n v="14556"/>
    <n v="4761904762"/>
    <n v="7278"/>
    <n v="4"/>
    <n v="14556"/>
  </r>
  <r>
    <s v="841-35-6630"/>
    <s v="Giza"/>
    <x v="1"/>
    <s v="Member"/>
    <x v="0"/>
    <x v="1"/>
    <n v="7591"/>
    <n v="6"/>
    <n v="22773"/>
    <n v="478233"/>
    <x v="1"/>
    <x v="11"/>
    <d v="1899-12-30T18:21:00"/>
    <s v="Cash"/>
    <n v="45546"/>
    <n v="4761904762"/>
    <n v="22773"/>
    <n v="87"/>
    <n v="45546"/>
  </r>
  <r>
    <s v="287-21-9091"/>
    <s v="Alex"/>
    <x v="0"/>
    <s v="Member"/>
    <x v="0"/>
    <x v="2"/>
    <n v="7467"/>
    <n v="9"/>
    <n v="336015"/>
    <n v="7056315"/>
    <x v="0"/>
    <x v="49"/>
    <d v="1899-12-30T10:55:00"/>
    <s v="Ewallet"/>
    <n v="67203"/>
    <n v="4761904762"/>
    <n v="336015"/>
    <n v="94"/>
    <n v="67203"/>
  </r>
  <r>
    <s v="732-94-0499"/>
    <s v="Giza"/>
    <x v="1"/>
    <s v="Member"/>
    <x v="0"/>
    <x v="1"/>
    <n v="4165"/>
    <n v="10"/>
    <n v="20825"/>
    <n v="437325"/>
    <x v="0"/>
    <x v="50"/>
    <d v="1899-12-30T17:04:00"/>
    <s v="Credit card"/>
    <n v="4165"/>
    <n v="4761904762"/>
    <n v="20825"/>
    <n v="54"/>
    <n v="41650"/>
  </r>
  <r>
    <s v="263-10-3913"/>
    <s v="Giza"/>
    <x v="1"/>
    <s v="Member"/>
    <x v="0"/>
    <x v="5"/>
    <n v="4904"/>
    <n v="9"/>
    <n v="22068"/>
    <n v="463428"/>
    <x v="0"/>
    <x v="51"/>
    <d v="1899-12-30T14:20:00"/>
    <s v="Credit card"/>
    <n v="44136"/>
    <n v="4761904762"/>
    <n v="22068"/>
    <n v="86"/>
    <n v="44136"/>
  </r>
  <r>
    <s v="381-20-0914"/>
    <s v="Alex"/>
    <x v="0"/>
    <s v="Member"/>
    <x v="0"/>
    <x v="5"/>
    <n v="2001"/>
    <n v="9"/>
    <n v="90045"/>
    <n v="1890945"/>
    <x v="0"/>
    <x v="52"/>
    <d v="1899-12-30T15:48:00"/>
    <s v="Credit card"/>
    <n v="18009"/>
    <n v="4761904762"/>
    <n v="90045"/>
    <n v="57"/>
    <n v="18009"/>
  </r>
  <r>
    <s v="829-49-1914"/>
    <s v="Giza"/>
    <x v="1"/>
    <s v="Member"/>
    <x v="0"/>
    <x v="4"/>
    <n v="7831"/>
    <n v="10"/>
    <n v="39155"/>
    <n v="822255"/>
    <x v="1"/>
    <x v="19"/>
    <d v="1899-12-30T16:24:00"/>
    <s v="Ewallet"/>
    <n v="7831"/>
    <n v="4761904762"/>
    <n v="39155"/>
    <n v="66"/>
    <n v="78310"/>
  </r>
  <r>
    <s v="756-01-7507"/>
    <s v="Giza"/>
    <x v="1"/>
    <s v="Member"/>
    <x v="0"/>
    <x v="0"/>
    <n v="2038"/>
    <n v="5"/>
    <n v="5095"/>
    <n v="106995"/>
    <x v="0"/>
    <x v="49"/>
    <d v="1899-12-30T18:56:00"/>
    <s v="Cash"/>
    <n v="1019"/>
    <n v="4761904762"/>
    <n v="5095"/>
    <n v="6"/>
    <n v="10190"/>
  </r>
  <r>
    <s v="870-72-4431"/>
    <s v="Giza"/>
    <x v="1"/>
    <s v="Member"/>
    <x v="0"/>
    <x v="0"/>
    <n v="9919"/>
    <n v="6"/>
    <n v="29757"/>
    <n v="624897"/>
    <x v="0"/>
    <x v="18"/>
    <d v="1899-12-30T14:42:00"/>
    <s v="Credit card"/>
    <n v="59514"/>
    <n v="4761904762"/>
    <n v="29757"/>
    <n v="55"/>
    <n v="59514"/>
  </r>
  <r>
    <s v="847-38-7188"/>
    <s v="Cairo"/>
    <x v="2"/>
    <s v="Member"/>
    <x v="0"/>
    <x v="4"/>
    <n v="9668"/>
    <n v="3"/>
    <n v="14502"/>
    <n v="304542"/>
    <x v="0"/>
    <x v="53"/>
    <d v="1899-12-30T19:56:00"/>
    <s v="Ewallet"/>
    <n v="29004"/>
    <n v="4761904762"/>
    <n v="14502"/>
    <n v="64"/>
    <n v="29004"/>
  </r>
  <r>
    <s v="480-63-2856"/>
    <s v="Giza"/>
    <x v="1"/>
    <s v="Member"/>
    <x v="0"/>
    <x v="4"/>
    <n v="1925"/>
    <n v="8"/>
    <n v="77"/>
    <n v="1617"/>
    <x v="0"/>
    <x v="54"/>
    <d v="1899-12-30T18:37:00"/>
    <s v="Ewallet"/>
    <n v="154"/>
    <n v="4761904762"/>
    <n v="77"/>
    <n v="66"/>
    <n v="15400"/>
  </r>
  <r>
    <s v="787-56-0757"/>
    <s v="Giza"/>
    <x v="1"/>
    <s v="Member"/>
    <x v="0"/>
    <x v="4"/>
    <n v="8036"/>
    <n v="4"/>
    <n v="16072"/>
    <n v="337512"/>
    <x v="2"/>
    <x v="55"/>
    <d v="1899-12-30T18:45:00"/>
    <s v="Credit card"/>
    <n v="32144"/>
    <n v="4761904762"/>
    <n v="16072"/>
    <n v="83"/>
    <n v="32144"/>
  </r>
  <r>
    <s v="360-39-5055"/>
    <s v="Giza"/>
    <x v="1"/>
    <s v="Member"/>
    <x v="0"/>
    <x v="3"/>
    <n v="4891"/>
    <n v="5"/>
    <n v="122275"/>
    <n v="2567775"/>
    <x v="1"/>
    <x v="11"/>
    <d v="1899-12-30T10:17:00"/>
    <s v="Cash"/>
    <n v="24455"/>
    <n v="4761904762"/>
    <n v="122275"/>
    <n v="66"/>
    <n v="24455"/>
  </r>
  <r>
    <s v="730-50-9884"/>
    <s v="Giza"/>
    <x v="1"/>
    <s v="Member"/>
    <x v="0"/>
    <x v="3"/>
    <n v="8306"/>
    <n v="7"/>
    <n v="29071"/>
    <n v="610491"/>
    <x v="1"/>
    <x v="19"/>
    <d v="1899-12-30T14:31:00"/>
    <s v="Ewallet"/>
    <n v="58142"/>
    <n v="4761904762"/>
    <n v="29071"/>
    <n v="4"/>
    <n v="58142"/>
  </r>
  <r>
    <s v="362-58-8315"/>
    <s v="Giza"/>
    <x v="1"/>
    <s v="Member"/>
    <x v="0"/>
    <x v="5"/>
    <n v="7652"/>
    <n v="5"/>
    <n v="1913"/>
    <n v="40173"/>
    <x v="1"/>
    <x v="5"/>
    <d v="1899-12-30T10:23:00"/>
    <s v="Cash"/>
    <n v="3826"/>
    <n v="4761904762"/>
    <n v="1913"/>
    <n v="99"/>
    <n v="38260"/>
  </r>
  <r>
    <s v="633-44-8566"/>
    <s v="Alex"/>
    <x v="0"/>
    <s v="Member"/>
    <x v="0"/>
    <x v="4"/>
    <n v="4938"/>
    <n v="7"/>
    <n v="17283"/>
    <n v="362943"/>
    <x v="1"/>
    <x v="39"/>
    <d v="1899-12-30T20:35:00"/>
    <s v="Credit card"/>
    <n v="34566"/>
    <n v="4761904762"/>
    <n v="17283"/>
    <n v="73"/>
    <n v="34566"/>
  </r>
  <r>
    <s v="504-35-8843"/>
    <s v="Alex"/>
    <x v="0"/>
    <s v="Member"/>
    <x v="0"/>
    <x v="3"/>
    <n v="4247"/>
    <n v="1"/>
    <n v="21235"/>
    <n v="445935"/>
    <x v="0"/>
    <x v="56"/>
    <d v="1899-12-30T16:57:00"/>
    <s v="Cash"/>
    <n v="4247"/>
    <n v="4761904762"/>
    <n v="21235"/>
    <n v="57"/>
    <n v="4247"/>
  </r>
  <r>
    <s v="318-68-5053"/>
    <s v="Cairo"/>
    <x v="2"/>
    <s v="Member"/>
    <x v="0"/>
    <x v="0"/>
    <n v="7699"/>
    <n v="6"/>
    <n v="23097"/>
    <n v="485037"/>
    <x v="2"/>
    <x v="33"/>
    <d v="1899-12-30T17:55:00"/>
    <s v="Cash"/>
    <n v="46194"/>
    <n v="4761904762"/>
    <n v="23097"/>
    <n v="61"/>
    <n v="46194"/>
  </r>
  <r>
    <s v="565-80-5980"/>
    <s v="Giza"/>
    <x v="1"/>
    <s v="Member"/>
    <x v="0"/>
    <x v="2"/>
    <n v="4738"/>
    <n v="4"/>
    <n v="9476"/>
    <n v="198996"/>
    <x v="0"/>
    <x v="54"/>
    <d v="1899-12-30T10:25:00"/>
    <s v="Cash"/>
    <n v="18952"/>
    <n v="4761904762"/>
    <n v="9476"/>
    <n v="71"/>
    <n v="18952"/>
  </r>
  <r>
    <s v="225-32-0908"/>
    <s v="Giza"/>
    <x v="1"/>
    <s v="Member"/>
    <x v="0"/>
    <x v="3"/>
    <n v="4486"/>
    <n v="10"/>
    <n v="2243"/>
    <n v="47103"/>
    <x v="0"/>
    <x v="53"/>
    <d v="1899-12-30T19:54:00"/>
    <s v="Ewallet"/>
    <n v="4486"/>
    <n v="4761904762"/>
    <n v="2243"/>
    <n v="82"/>
    <n v="44860"/>
  </r>
  <r>
    <s v="873-51-0671"/>
    <s v="Alex"/>
    <x v="0"/>
    <s v="Member"/>
    <x v="0"/>
    <x v="3"/>
    <n v="2198"/>
    <n v="7"/>
    <n v="7693"/>
    <n v="161553"/>
    <x v="0"/>
    <x v="8"/>
    <d v="1899-12-30T16:42:00"/>
    <s v="Ewallet"/>
    <n v="15386"/>
    <n v="4761904762"/>
    <n v="7693"/>
    <n v="51"/>
    <n v="15386"/>
  </r>
  <r>
    <s v="152-08-9985"/>
    <s v="Cairo"/>
    <x v="2"/>
    <s v="Member"/>
    <x v="0"/>
    <x v="0"/>
    <n v="6436"/>
    <n v="9"/>
    <n v="28962"/>
    <n v="608202"/>
    <x v="1"/>
    <x v="41"/>
    <d v="1899-12-30T12:09:00"/>
    <s v="Credit card"/>
    <n v="57924"/>
    <n v="4761904762"/>
    <n v="28962"/>
    <n v="86"/>
    <n v="57924"/>
  </r>
  <r>
    <s v="512-91-0811"/>
    <s v="Giza"/>
    <x v="1"/>
    <s v="Member"/>
    <x v="0"/>
    <x v="0"/>
    <n v="8975"/>
    <n v="1"/>
    <n v="44875"/>
    <n v="942375"/>
    <x v="2"/>
    <x v="10"/>
    <d v="1899-12-30T20:05:00"/>
    <s v="Credit card"/>
    <n v="8975"/>
    <n v="4761904762"/>
    <n v="44875"/>
    <n v="66"/>
    <n v="8975"/>
  </r>
  <r>
    <s v="594-34-4444"/>
    <s v="Alex"/>
    <x v="0"/>
    <s v="Member"/>
    <x v="0"/>
    <x v="1"/>
    <n v="9716"/>
    <n v="1"/>
    <n v="4858"/>
    <n v="102018"/>
    <x v="1"/>
    <x v="1"/>
    <d v="1899-12-30T20:38:00"/>
    <s v="Ewallet"/>
    <n v="9716"/>
    <n v="4761904762"/>
    <n v="4858"/>
    <n v="72"/>
    <n v="9716"/>
  </r>
  <r>
    <s v="766-85-7061"/>
    <s v="Cairo"/>
    <x v="2"/>
    <s v="Member"/>
    <x v="0"/>
    <x v="0"/>
    <n v="8787"/>
    <n v="10"/>
    <n v="43935"/>
    <n v="922635"/>
    <x v="1"/>
    <x v="14"/>
    <d v="1899-12-30T10:25:00"/>
    <s v="Ewallet"/>
    <n v="8787"/>
    <n v="4761904762"/>
    <n v="43935"/>
    <n v="51"/>
    <n v="87870"/>
  </r>
  <r>
    <s v="871-39-9221"/>
    <s v="Giza"/>
    <x v="1"/>
    <s v="Member"/>
    <x v="0"/>
    <x v="1"/>
    <n v="1245"/>
    <n v="6"/>
    <n v="3735"/>
    <n v="78435"/>
    <x v="2"/>
    <x v="57"/>
    <d v="1899-12-30T13:11:00"/>
    <s v="Cash"/>
    <n v="747"/>
    <n v="4761904762"/>
    <n v="3735"/>
    <n v="41"/>
    <n v="7470"/>
  </r>
  <r>
    <s v="865-92-6136"/>
    <s v="Alex"/>
    <x v="0"/>
    <s v="Member"/>
    <x v="0"/>
    <x v="4"/>
    <n v="5275"/>
    <n v="3"/>
    <n v="79125"/>
    <n v="1661625"/>
    <x v="1"/>
    <x v="28"/>
    <d v="1899-12-30T10:16:00"/>
    <s v="Ewallet"/>
    <n v="15825"/>
    <n v="4761904762"/>
    <n v="79125"/>
    <n v="93"/>
    <n v="15825"/>
  </r>
  <r>
    <s v="733-01-9107"/>
    <s v="Cairo"/>
    <x v="2"/>
    <s v="Member"/>
    <x v="0"/>
    <x v="2"/>
    <n v="827"/>
    <n v="6"/>
    <n v="2481"/>
    <n v="52101"/>
    <x v="1"/>
    <x v="19"/>
    <d v="1899-12-30T18:14:00"/>
    <s v="Cash"/>
    <n v="4962"/>
    <n v="4761904762"/>
    <n v="2481"/>
    <n v="74"/>
    <n v="4962"/>
  </r>
  <r>
    <s v="163-56-7055"/>
    <s v="Giza"/>
    <x v="1"/>
    <s v="Member"/>
    <x v="0"/>
    <x v="5"/>
    <n v="4871"/>
    <n v="1"/>
    <n v="24355"/>
    <n v="511455"/>
    <x v="1"/>
    <x v="58"/>
    <d v="1899-12-30T19:20:00"/>
    <s v="Cash"/>
    <n v="4871"/>
    <n v="4761904762"/>
    <n v="24355"/>
    <n v="41"/>
    <n v="4871"/>
  </r>
  <r>
    <s v="189-98-2939"/>
    <s v="Giza"/>
    <x v="1"/>
    <s v="Member"/>
    <x v="0"/>
    <x v="5"/>
    <n v="7855"/>
    <n v="9"/>
    <n v="353475"/>
    <n v="7422975"/>
    <x v="1"/>
    <x v="59"/>
    <d v="1899-12-30T13:22:00"/>
    <s v="Cash"/>
    <n v="70695"/>
    <n v="4761904762"/>
    <n v="353475"/>
    <n v="72"/>
    <n v="70695"/>
  </r>
  <r>
    <s v="551-21-3069"/>
    <s v="Giza"/>
    <x v="1"/>
    <s v="Member"/>
    <x v="0"/>
    <x v="1"/>
    <n v="2307"/>
    <n v="9"/>
    <n v="103815"/>
    <n v="2180115"/>
    <x v="2"/>
    <x v="60"/>
    <d v="1899-12-30T11:27:00"/>
    <s v="Cash"/>
    <n v="20763"/>
    <n v="4761904762"/>
    <n v="103815"/>
    <n v="49"/>
    <n v="20763"/>
  </r>
  <r>
    <s v="212-62-1842"/>
    <s v="Alex"/>
    <x v="0"/>
    <s v="Member"/>
    <x v="0"/>
    <x v="4"/>
    <n v="5826"/>
    <n v="6"/>
    <n v="17478"/>
    <n v="367038"/>
    <x v="1"/>
    <x v="61"/>
    <d v="1899-12-30T16:44:00"/>
    <s v="Cash"/>
    <n v="34956"/>
    <n v="4761904762"/>
    <n v="17478"/>
    <n v="99"/>
    <n v="34956"/>
  </r>
  <r>
    <s v="716-39-1409"/>
    <s v="Cairo"/>
    <x v="2"/>
    <s v="Member"/>
    <x v="0"/>
    <x v="0"/>
    <n v="3035"/>
    <n v="7"/>
    <n v="106225"/>
    <n v="2230725"/>
    <x v="1"/>
    <x v="35"/>
    <d v="1899-12-30T18:19:00"/>
    <s v="Cash"/>
    <n v="21245"/>
    <n v="4761904762"/>
    <n v="106225"/>
    <n v="8"/>
    <n v="21245"/>
  </r>
  <r>
    <s v="704-48-3927"/>
    <s v="Alex"/>
    <x v="0"/>
    <s v="Member"/>
    <x v="0"/>
    <x v="1"/>
    <n v="8867"/>
    <n v="10"/>
    <n v="44335"/>
    <n v="931035"/>
    <x v="0"/>
    <x v="52"/>
    <d v="1899-12-30T14:50:00"/>
    <s v="Ewallet"/>
    <n v="8867"/>
    <n v="4761904762"/>
    <n v="44335"/>
    <n v="73"/>
    <n v="88670"/>
  </r>
  <r>
    <s v="628-34-3388"/>
    <s v="Giza"/>
    <x v="1"/>
    <s v="Member"/>
    <x v="0"/>
    <x v="5"/>
    <n v="2738"/>
    <n v="6"/>
    <n v="8214"/>
    <n v="172494"/>
    <x v="0"/>
    <x v="0"/>
    <d v="1899-12-30T20:54:00"/>
    <s v="Credit card"/>
    <n v="16428"/>
    <n v="4761904762"/>
    <n v="8214"/>
    <n v="79"/>
    <n v="16428"/>
  </r>
  <r>
    <s v="630-74-5166"/>
    <s v="Alex"/>
    <x v="0"/>
    <s v="Member"/>
    <x v="0"/>
    <x v="3"/>
    <n v="6213"/>
    <n v="6"/>
    <n v="18639"/>
    <n v="391419"/>
    <x v="1"/>
    <x v="23"/>
    <d v="1899-12-30T20:19:00"/>
    <s v="Cash"/>
    <n v="37278"/>
    <n v="4761904762"/>
    <n v="18639"/>
    <n v="74"/>
    <n v="37278"/>
  </r>
  <r>
    <s v="588-01-7461"/>
    <s v="Giza"/>
    <x v="1"/>
    <s v="Member"/>
    <x v="0"/>
    <x v="4"/>
    <n v="3398"/>
    <n v="9"/>
    <n v="15291"/>
    <n v="321111"/>
    <x v="1"/>
    <x v="62"/>
    <d v="1899-12-30T10:43:00"/>
    <s v="Cash"/>
    <n v="30582"/>
    <n v="4761904762"/>
    <n v="15291"/>
    <n v="42"/>
    <n v="30582"/>
  </r>
  <r>
    <s v="861-77-0145"/>
    <s v="Giza"/>
    <x v="1"/>
    <s v="Member"/>
    <x v="0"/>
    <x v="1"/>
    <n v="8197"/>
    <n v="10"/>
    <n v="40985"/>
    <n v="860685"/>
    <x v="1"/>
    <x v="2"/>
    <d v="1899-12-30T14:30:00"/>
    <s v="Cash"/>
    <n v="8197"/>
    <n v="4761904762"/>
    <n v="40985"/>
    <n v="92"/>
    <n v="81970"/>
  </r>
  <r>
    <s v="479-26-8945"/>
    <s v="Cairo"/>
    <x v="2"/>
    <s v="Member"/>
    <x v="0"/>
    <x v="3"/>
    <n v="1649"/>
    <n v="2"/>
    <n v="1649"/>
    <n v="34629"/>
    <x v="2"/>
    <x v="63"/>
    <d v="1899-12-30T11:32:00"/>
    <s v="Ewallet"/>
    <n v="3298"/>
    <n v="4761904762"/>
    <n v="1649"/>
    <n v="46"/>
    <n v="3298"/>
  </r>
  <r>
    <s v="210-67-5886"/>
    <s v="Giza"/>
    <x v="1"/>
    <s v="Member"/>
    <x v="0"/>
    <x v="0"/>
    <n v="9821"/>
    <n v="3"/>
    <n v="147315"/>
    <n v="3093615"/>
    <x v="2"/>
    <x v="63"/>
    <d v="1899-12-30T10:41:00"/>
    <s v="Credit card"/>
    <n v="29463"/>
    <n v="4761904762"/>
    <n v="147315"/>
    <n v="78"/>
    <n v="29463"/>
  </r>
  <r>
    <s v="227-78-1148"/>
    <s v="Cairo"/>
    <x v="2"/>
    <s v="Member"/>
    <x v="0"/>
    <x v="5"/>
    <n v="7284"/>
    <n v="7"/>
    <n v="25494"/>
    <n v="535374"/>
    <x v="2"/>
    <x v="42"/>
    <d v="1899-12-30T12:44:00"/>
    <s v="Cash"/>
    <n v="50988"/>
    <n v="4761904762"/>
    <n v="25494"/>
    <n v="84"/>
    <n v="50988"/>
  </r>
  <r>
    <s v="645-44-1170"/>
    <s v="Alex"/>
    <x v="0"/>
    <s v="Member"/>
    <x v="0"/>
    <x v="2"/>
    <n v="5807"/>
    <n v="9"/>
    <n v="261315"/>
    <n v="5487615"/>
    <x v="0"/>
    <x v="64"/>
    <d v="1899-12-30T20:07:00"/>
    <s v="Ewallet"/>
    <n v="52263"/>
    <n v="4761904762"/>
    <n v="261315"/>
    <n v="43"/>
    <n v="52263"/>
  </r>
  <r>
    <s v="237-01-6122"/>
    <s v="Giza"/>
    <x v="1"/>
    <s v="Member"/>
    <x v="0"/>
    <x v="2"/>
    <n v="8079"/>
    <n v="9"/>
    <n v="363555"/>
    <n v="7634655"/>
    <x v="2"/>
    <x v="60"/>
    <d v="1899-12-30T20:31:00"/>
    <s v="Credit card"/>
    <n v="72711"/>
    <n v="4761904762"/>
    <n v="363555"/>
    <n v="95"/>
    <n v="72711"/>
  </r>
  <r>
    <s v="225-98-1496"/>
    <s v="Giza"/>
    <x v="1"/>
    <s v="Member"/>
    <x v="0"/>
    <x v="5"/>
    <n v="2702"/>
    <n v="3"/>
    <n v="4053"/>
    <n v="85113"/>
    <x v="1"/>
    <x v="22"/>
    <d v="1899-12-30T13:01:00"/>
    <s v="Credit card"/>
    <n v="8106"/>
    <n v="4761904762"/>
    <n v="4053"/>
    <n v="71"/>
    <n v="8106"/>
  </r>
  <r>
    <s v="291-32-1427"/>
    <s v="Cairo"/>
    <x v="2"/>
    <s v="Member"/>
    <x v="0"/>
    <x v="5"/>
    <n v="2194"/>
    <n v="5"/>
    <n v="5485"/>
    <n v="115185"/>
    <x v="1"/>
    <x v="19"/>
    <d v="1899-12-30T12:29:00"/>
    <s v="Ewallet"/>
    <n v="1097"/>
    <n v="4761904762"/>
    <n v="5485"/>
    <n v="53"/>
    <n v="10970"/>
  </r>
  <r>
    <s v="659-65-8956"/>
    <s v="Cairo"/>
    <x v="2"/>
    <s v="Member"/>
    <x v="0"/>
    <x v="5"/>
    <n v="5136"/>
    <n v="1"/>
    <n v="2568"/>
    <n v="53928"/>
    <x v="0"/>
    <x v="65"/>
    <d v="1899-12-30T15:26:00"/>
    <s v="Ewallet"/>
    <n v="5136"/>
    <n v="4761904762"/>
    <n v="2568"/>
    <n v="52"/>
    <n v="5136"/>
  </r>
  <r>
    <s v="642-32-2990"/>
    <s v="Alex"/>
    <x v="0"/>
    <s v="Member"/>
    <x v="0"/>
    <x v="4"/>
    <n v="1096"/>
    <n v="10"/>
    <n v="548"/>
    <n v="11508"/>
    <x v="2"/>
    <x v="30"/>
    <d v="1899-12-30T20:48:00"/>
    <s v="Ewallet"/>
    <n v="1096"/>
    <n v="4761904762"/>
    <n v="548"/>
    <n v="6"/>
    <n v="10960"/>
  </r>
  <r>
    <s v="378-24-2715"/>
    <s v="Cairo"/>
    <x v="2"/>
    <s v="Member"/>
    <x v="0"/>
    <x v="2"/>
    <n v="5344"/>
    <n v="2"/>
    <n v="5344"/>
    <n v="112224"/>
    <x v="0"/>
    <x v="40"/>
    <d v="1899-12-30T20:38:00"/>
    <s v="Ewallet"/>
    <n v="10688"/>
    <n v="4761904762"/>
    <n v="5344"/>
    <n v="41"/>
    <n v="10688"/>
  </r>
  <r>
    <s v="638-60-7125"/>
    <s v="Alex"/>
    <x v="0"/>
    <s v="Member"/>
    <x v="0"/>
    <x v="1"/>
    <n v="9956"/>
    <n v="8"/>
    <n v="39824"/>
    <n v="836304"/>
    <x v="2"/>
    <x v="44"/>
    <d v="1899-12-30T17:03:00"/>
    <s v="Credit card"/>
    <n v="79648"/>
    <n v="4761904762"/>
    <n v="39824"/>
    <n v="52"/>
    <n v="79648"/>
  </r>
  <r>
    <s v="659-36-1684"/>
    <s v="Giza"/>
    <x v="1"/>
    <s v="Member"/>
    <x v="0"/>
    <x v="3"/>
    <n v="5712"/>
    <n v="7"/>
    <n v="19992"/>
    <n v="419832"/>
    <x v="0"/>
    <x v="52"/>
    <d v="1899-12-30T12:02:00"/>
    <s v="Credit card"/>
    <n v="39984"/>
    <n v="4761904762"/>
    <n v="19992"/>
    <n v="65"/>
    <n v="39984"/>
  </r>
  <r>
    <s v="219-22-9386"/>
    <s v="Cairo"/>
    <x v="2"/>
    <s v="Member"/>
    <x v="0"/>
    <x v="3"/>
    <n v="9996"/>
    <n v="9"/>
    <n v="44982"/>
    <n v="944622"/>
    <x v="1"/>
    <x v="11"/>
    <d v="1899-12-30T17:26:00"/>
    <s v="Credit card"/>
    <n v="89964"/>
    <n v="4761904762"/>
    <n v="44982"/>
    <n v="42"/>
    <n v="89964"/>
  </r>
  <r>
    <s v="336-78-2147"/>
    <s v="Giza"/>
    <x v="1"/>
    <s v="Member"/>
    <x v="0"/>
    <x v="2"/>
    <n v="6391"/>
    <n v="8"/>
    <n v="25564"/>
    <n v="536844"/>
    <x v="1"/>
    <x v="45"/>
    <d v="1899-12-30T19:52:00"/>
    <s v="Credit card"/>
    <n v="51128"/>
    <n v="4761904762"/>
    <n v="25564"/>
    <n v="46"/>
    <n v="51128"/>
  </r>
  <r>
    <s v="268-27-6179"/>
    <s v="Cairo"/>
    <x v="2"/>
    <s v="Member"/>
    <x v="0"/>
    <x v="5"/>
    <n v="5647"/>
    <n v="8"/>
    <n v="22588"/>
    <n v="474348"/>
    <x v="1"/>
    <x v="11"/>
    <d v="1899-12-30T14:57:00"/>
    <s v="Ewallet"/>
    <n v="45176"/>
    <n v="4761904762"/>
    <n v="22588"/>
    <n v="73"/>
    <n v="45176"/>
  </r>
  <r>
    <s v="668-90-8900"/>
    <s v="Alex"/>
    <x v="0"/>
    <s v="Member"/>
    <x v="0"/>
    <x v="2"/>
    <n v="9369"/>
    <n v="7"/>
    <n v="327915"/>
    <n v="6886215"/>
    <x v="1"/>
    <x v="24"/>
    <d v="1899-12-30T18:44:00"/>
    <s v="Credit card"/>
    <n v="65583"/>
    <n v="4761904762"/>
    <n v="327915"/>
    <n v="45"/>
    <n v="65583"/>
  </r>
  <r>
    <s v="870-54-3162"/>
    <s v="Alex"/>
    <x v="0"/>
    <s v="Member"/>
    <x v="0"/>
    <x v="3"/>
    <n v="3225"/>
    <n v="5"/>
    <n v="80625"/>
    <n v="1693125"/>
    <x v="0"/>
    <x v="3"/>
    <d v="1899-12-30T13:26:00"/>
    <s v="Cash"/>
    <n v="16125"/>
    <n v="4761904762"/>
    <n v="80625"/>
    <n v="9"/>
    <n v="16125"/>
  </r>
  <r>
    <s v="189-08-9157"/>
    <s v="Giza"/>
    <x v="1"/>
    <s v="Member"/>
    <x v="0"/>
    <x v="5"/>
    <n v="3173"/>
    <n v="9"/>
    <n v="142785"/>
    <n v="2998485"/>
    <x v="0"/>
    <x v="66"/>
    <d v="1899-12-30T16:17:00"/>
    <s v="Credit card"/>
    <n v="28557"/>
    <n v="4761904762"/>
    <n v="142785"/>
    <n v="59"/>
    <n v="28557"/>
  </r>
  <r>
    <s v="663-86-9076"/>
    <s v="Giza"/>
    <x v="1"/>
    <s v="Member"/>
    <x v="0"/>
    <x v="4"/>
    <n v="6854"/>
    <n v="8"/>
    <n v="27416"/>
    <n v="575736"/>
    <x v="0"/>
    <x v="66"/>
    <d v="1899-12-30T15:57:00"/>
    <s v="Ewallet"/>
    <n v="54832"/>
    <n v="4761904762"/>
    <n v="27416"/>
    <n v="85"/>
    <n v="54832"/>
  </r>
  <r>
    <s v="549-84-7482"/>
    <s v="Cairo"/>
    <x v="2"/>
    <s v="Member"/>
    <x v="0"/>
    <x v="3"/>
    <n v="9028"/>
    <n v="9"/>
    <n v="40626"/>
    <n v="853146"/>
    <x v="2"/>
    <x v="4"/>
    <d v="1899-12-30T11:15:00"/>
    <s v="Ewallet"/>
    <n v="81252"/>
    <n v="4761904762"/>
    <n v="40626"/>
    <n v="72"/>
    <n v="81252"/>
  </r>
  <r>
    <s v="191-10-6171"/>
    <s v="Cairo"/>
    <x v="2"/>
    <s v="Normal"/>
    <x v="0"/>
    <x v="5"/>
    <n v="3962"/>
    <n v="7"/>
    <n v="13867"/>
    <n v="291207"/>
    <x v="0"/>
    <x v="25"/>
    <d v="1899-12-30T13:18:00"/>
    <s v="Cash"/>
    <n v="27734"/>
    <n v="4761904762"/>
    <n v="13867"/>
    <n v="75"/>
    <n v="27734"/>
  </r>
  <r>
    <s v="802-70-5316"/>
    <s v="Alex"/>
    <x v="0"/>
    <s v="Member"/>
    <x v="0"/>
    <x v="3"/>
    <n v="9213"/>
    <n v="6"/>
    <n v="27639"/>
    <n v="580419"/>
    <x v="1"/>
    <x v="43"/>
    <d v="1899-12-30T20:34:00"/>
    <s v="Cash"/>
    <n v="55278"/>
    <n v="4761904762"/>
    <n v="27639"/>
    <n v="83"/>
    <n v="55278"/>
  </r>
  <r>
    <s v="695-51-0018"/>
    <s v="Cairo"/>
    <x v="2"/>
    <s v="Normal"/>
    <x v="0"/>
    <x v="3"/>
    <n v="3484"/>
    <n v="4"/>
    <n v="6968"/>
    <n v="146328"/>
    <x v="2"/>
    <x v="34"/>
    <d v="1899-12-30T18:36:00"/>
    <s v="Cash"/>
    <n v="13936"/>
    <n v="4761904762"/>
    <n v="6968"/>
    <n v="74"/>
    <n v="13936"/>
  </r>
  <r>
    <s v="590-83-4591"/>
    <s v="Cairo"/>
    <x v="2"/>
    <s v="Member"/>
    <x v="0"/>
    <x v="1"/>
    <n v="8745"/>
    <n v="6"/>
    <n v="26235"/>
    <n v="550935"/>
    <x v="2"/>
    <x v="21"/>
    <d v="1899-12-30T14:40:00"/>
    <s v="Credit card"/>
    <n v="5247"/>
    <n v="4761904762"/>
    <n v="26235"/>
    <n v="88"/>
    <n v="52470"/>
  </r>
  <r>
    <s v="483-71-1164"/>
    <s v="Giza"/>
    <x v="1"/>
    <s v="Normal"/>
    <x v="0"/>
    <x v="0"/>
    <n v="813"/>
    <n v="6"/>
    <n v="2439"/>
    <n v="51219"/>
    <x v="1"/>
    <x v="1"/>
    <d v="1899-12-30T16:43:00"/>
    <s v="Ewallet"/>
    <n v="4878"/>
    <n v="4761904762"/>
    <n v="2439"/>
    <n v="53"/>
    <n v="4878"/>
  </r>
  <r>
    <s v="597-78-7908"/>
    <s v="Giza"/>
    <x v="1"/>
    <s v="Normal"/>
    <x v="0"/>
    <x v="5"/>
    <n v="9022"/>
    <n v="3"/>
    <n v="13533"/>
    <n v="284193"/>
    <x v="2"/>
    <x v="67"/>
    <d v="1899-12-30T19:39:00"/>
    <s v="Cash"/>
    <n v="27066"/>
    <n v="4761904762"/>
    <n v="13533"/>
    <n v="62"/>
    <n v="27066"/>
  </r>
  <r>
    <s v="700-81-1757"/>
    <s v="Alex"/>
    <x v="0"/>
    <s v="Normal"/>
    <x v="0"/>
    <x v="1"/>
    <n v="2631"/>
    <n v="5"/>
    <n v="65775"/>
    <n v="1381275"/>
    <x v="0"/>
    <x v="68"/>
    <d v="1899-12-30T20:59:00"/>
    <s v="Credit card"/>
    <n v="13155"/>
    <n v="4761904762"/>
    <n v="65775"/>
    <n v="88"/>
    <n v="13155"/>
  </r>
  <r>
    <s v="354-39-5160"/>
    <s v="Alex"/>
    <x v="0"/>
    <s v="Member"/>
    <x v="0"/>
    <x v="2"/>
    <n v="3442"/>
    <n v="6"/>
    <n v="10326"/>
    <n v="216846"/>
    <x v="2"/>
    <x v="67"/>
    <d v="1899-12-30T15:39:00"/>
    <s v="Cash"/>
    <n v="20652"/>
    <n v="4761904762"/>
    <n v="10326"/>
    <n v="98"/>
    <n v="20652"/>
  </r>
  <r>
    <s v="241-72-9525"/>
    <s v="Cairo"/>
    <x v="2"/>
    <s v="Normal"/>
    <x v="0"/>
    <x v="3"/>
    <n v="5191"/>
    <n v="10"/>
    <n v="25955"/>
    <n v="545055"/>
    <x v="2"/>
    <x v="69"/>
    <d v="1899-12-30T12:21:00"/>
    <s v="Cash"/>
    <n v="5191"/>
    <n v="4761904762"/>
    <n v="25955"/>
    <n v="82"/>
    <n v="51910"/>
  </r>
  <r>
    <s v="575-30-8091"/>
    <s v="Alex"/>
    <x v="0"/>
    <s v="Normal"/>
    <x v="0"/>
    <x v="3"/>
    <n v="725"/>
    <n v="8"/>
    <n v="29"/>
    <n v="609"/>
    <x v="1"/>
    <x v="32"/>
    <d v="1899-12-30T19:25:00"/>
    <s v="Ewallet"/>
    <n v="580"/>
    <n v="4761904762"/>
    <n v="29"/>
    <n v="92"/>
    <n v="5800"/>
  </r>
  <r>
    <s v="731-81-9469"/>
    <s v="Giza"/>
    <x v="1"/>
    <s v="Member"/>
    <x v="0"/>
    <x v="3"/>
    <n v="898"/>
    <n v="10"/>
    <n v="449"/>
    <n v="9429"/>
    <x v="0"/>
    <x v="54"/>
    <d v="1899-12-30T13:00:00"/>
    <s v="Credit card"/>
    <n v="898"/>
    <n v="4761904762"/>
    <n v="449"/>
    <n v="54"/>
    <n v="8980"/>
  </r>
  <r>
    <s v="280-17-4359"/>
    <s v="Giza"/>
    <x v="1"/>
    <s v="Member"/>
    <x v="1"/>
    <x v="0"/>
    <n v="905"/>
    <n v="10"/>
    <n v="4525"/>
    <n v="95025"/>
    <x v="0"/>
    <x v="25"/>
    <d v="1899-12-30T13:48:00"/>
    <s v="Cash"/>
    <n v="905"/>
    <n v="4761904762"/>
    <n v="4525"/>
    <n v="81"/>
    <n v="9050"/>
  </r>
  <r>
    <s v="338-65-2210"/>
    <s v="Giza"/>
    <x v="1"/>
    <s v="Member"/>
    <x v="0"/>
    <x v="0"/>
    <n v="686"/>
    <n v="10"/>
    <n v="343"/>
    <n v="7203"/>
    <x v="2"/>
    <x v="63"/>
    <d v="1899-12-30T19:57:00"/>
    <s v="Cash"/>
    <n v="686"/>
    <n v="4761904762"/>
    <n v="343"/>
    <n v="91"/>
    <n v="6860"/>
  </r>
  <r>
    <s v="488-25-4221"/>
    <s v="Giza"/>
    <x v="1"/>
    <s v="Member"/>
    <x v="0"/>
    <x v="4"/>
    <n v="3041"/>
    <n v="1"/>
    <n v="15205"/>
    <n v="319305"/>
    <x v="2"/>
    <x v="70"/>
    <d v="1899-12-30T10:36:00"/>
    <s v="Credit card"/>
    <n v="3041"/>
    <n v="4761904762"/>
    <n v="15205"/>
    <n v="84"/>
    <n v="3041"/>
  </r>
  <r>
    <s v="239-10-7476"/>
    <s v="Alex"/>
    <x v="0"/>
    <s v="Normal"/>
    <x v="0"/>
    <x v="2"/>
    <n v="7795"/>
    <n v="6"/>
    <n v="23385"/>
    <n v="491085"/>
    <x v="0"/>
    <x v="18"/>
    <d v="1899-12-30T16:37:00"/>
    <s v="Ewallet"/>
    <n v="4677"/>
    <n v="4761904762"/>
    <n v="23385"/>
    <n v="8"/>
    <n v="46770"/>
  </r>
  <r>
    <s v="458-41-1477"/>
    <s v="Giza"/>
    <x v="1"/>
    <s v="Normal"/>
    <x v="0"/>
    <x v="0"/>
    <n v="4626"/>
    <n v="6"/>
    <n v="13878"/>
    <n v="291438"/>
    <x v="1"/>
    <x v="1"/>
    <d v="1899-12-30T17:11:00"/>
    <s v="Credit card"/>
    <n v="27756"/>
    <n v="4761904762"/>
    <n v="13878"/>
    <n v="95"/>
    <n v="27756"/>
  </r>
  <r>
    <s v="685-64-1609"/>
    <s v="Alex"/>
    <x v="0"/>
    <s v="Member"/>
    <x v="0"/>
    <x v="5"/>
    <n v="3014"/>
    <n v="10"/>
    <n v="1507"/>
    <n v="31647"/>
    <x v="2"/>
    <x v="34"/>
    <d v="1899-12-30T12:28:00"/>
    <s v="Ewallet"/>
    <n v="3014"/>
    <n v="4761904762"/>
    <n v="1507"/>
    <n v="92"/>
    <n v="30140"/>
  </r>
  <r>
    <s v="568-90-5112"/>
    <s v="Giza"/>
    <x v="1"/>
    <s v="Normal"/>
    <x v="1"/>
    <x v="0"/>
    <n v="6614"/>
    <n v="4"/>
    <n v="13228"/>
    <n v="277788"/>
    <x v="1"/>
    <x v="35"/>
    <d v="1899-12-30T12:46:00"/>
    <s v="Credit card"/>
    <n v="26456"/>
    <n v="4761904762"/>
    <n v="13228"/>
    <n v="56"/>
    <n v="26456"/>
  </r>
  <r>
    <s v="262-47-2794"/>
    <s v="Cairo"/>
    <x v="2"/>
    <s v="Member"/>
    <x v="1"/>
    <x v="2"/>
    <n v="7186"/>
    <n v="8"/>
    <n v="28744"/>
    <n v="603624"/>
    <x v="1"/>
    <x v="43"/>
    <d v="1899-12-30T15:07:00"/>
    <s v="Credit card"/>
    <n v="57488"/>
    <n v="4761904762"/>
    <n v="28744"/>
    <n v="62"/>
    <n v="57488"/>
  </r>
  <r>
    <s v="238-49-0436"/>
    <s v="Alex"/>
    <x v="0"/>
    <s v="Normal"/>
    <x v="1"/>
    <x v="0"/>
    <n v="3246"/>
    <n v="8"/>
    <n v="12984"/>
    <n v="272664"/>
    <x v="1"/>
    <x v="39"/>
    <d v="1899-12-30T13:48:00"/>
    <s v="Credit card"/>
    <n v="25968"/>
    <n v="4761904762"/>
    <n v="12984"/>
    <n v="49"/>
    <n v="25968"/>
  </r>
  <r>
    <s v="608-96-3517"/>
    <s v="Cairo"/>
    <x v="2"/>
    <s v="Member"/>
    <x v="0"/>
    <x v="5"/>
    <n v="9154"/>
    <n v="4"/>
    <n v="18308"/>
    <n v="384468"/>
    <x v="1"/>
    <x v="28"/>
    <d v="1899-12-30T19:20:00"/>
    <s v="Credit card"/>
    <n v="36616"/>
    <n v="4761904762"/>
    <n v="18308"/>
    <n v="48"/>
    <n v="36616"/>
  </r>
  <r>
    <s v="584-86-7256"/>
    <s v="Giza"/>
    <x v="1"/>
    <s v="Member"/>
    <x v="1"/>
    <x v="3"/>
    <n v="3456"/>
    <n v="7"/>
    <n v="12096"/>
    <n v="254016"/>
    <x v="1"/>
    <x v="16"/>
    <d v="1899-12-30T16:07:00"/>
    <s v="Credit card"/>
    <n v="24192"/>
    <n v="4761904762"/>
    <n v="12096"/>
    <n v="73"/>
    <n v="24192"/>
  </r>
  <r>
    <s v="746-94-0204"/>
    <s v="Alex"/>
    <x v="0"/>
    <s v="Normal"/>
    <x v="1"/>
    <x v="5"/>
    <n v="8324"/>
    <n v="9"/>
    <n v="37458"/>
    <n v="786618"/>
    <x v="0"/>
    <x v="71"/>
    <d v="1899-12-30T11:56:00"/>
    <s v="Credit card"/>
    <n v="74916"/>
    <n v="4761904762"/>
    <n v="37458"/>
    <n v="74"/>
    <n v="74916"/>
  </r>
  <r>
    <s v="214-17-6927"/>
    <s v="Giza"/>
    <x v="1"/>
    <s v="Normal"/>
    <x v="0"/>
    <x v="4"/>
    <n v="1648"/>
    <n v="6"/>
    <n v="4944"/>
    <n v="103824"/>
    <x v="2"/>
    <x v="13"/>
    <d v="1899-12-30T18:23:00"/>
    <s v="Ewallet"/>
    <n v="9888"/>
    <n v="4761904762"/>
    <n v="4944"/>
    <n v="99"/>
    <n v="9888"/>
  </r>
  <r>
    <s v="400-89-4171"/>
    <s v="Giza"/>
    <x v="1"/>
    <s v="Normal"/>
    <x v="0"/>
    <x v="3"/>
    <n v="8097"/>
    <n v="8"/>
    <n v="32388"/>
    <n v="680148"/>
    <x v="0"/>
    <x v="26"/>
    <d v="1899-12-30T13:05:00"/>
    <s v="Cash"/>
    <n v="64776"/>
    <n v="4761904762"/>
    <n v="32388"/>
    <n v="93"/>
    <n v="64776"/>
  </r>
  <r>
    <s v="782-95-9291"/>
    <s v="Alex"/>
    <x v="0"/>
    <s v="Member"/>
    <x v="1"/>
    <x v="4"/>
    <n v="9229"/>
    <n v="5"/>
    <n v="230725"/>
    <n v="4845225"/>
    <x v="2"/>
    <x v="9"/>
    <d v="1899-12-30T15:55:00"/>
    <s v="Credit card"/>
    <n v="46145"/>
    <n v="4761904762"/>
    <n v="230725"/>
    <n v="9"/>
    <n v="46145"/>
  </r>
  <r>
    <s v="279-74-2924"/>
    <s v="Cairo"/>
    <x v="2"/>
    <s v="Member"/>
    <x v="1"/>
    <x v="1"/>
    <n v="7217"/>
    <n v="1"/>
    <n v="36085"/>
    <n v="757785"/>
    <x v="0"/>
    <x v="72"/>
    <d v="1899-12-30T19:40:00"/>
    <s v="Cash"/>
    <n v="7217"/>
    <n v="4761904762"/>
    <n v="36085"/>
    <n v="61"/>
    <n v="7217"/>
  </r>
  <r>
    <s v="307-85-2293"/>
    <s v="Cairo"/>
    <x v="2"/>
    <s v="Normal"/>
    <x v="1"/>
    <x v="2"/>
    <n v="5028"/>
    <n v="5"/>
    <n v="1257"/>
    <n v="26397"/>
    <x v="1"/>
    <x v="37"/>
    <d v="1899-12-30T13:58:00"/>
    <s v="Ewallet"/>
    <n v="2514"/>
    <n v="4761904762"/>
    <n v="1257"/>
    <n v="97"/>
    <n v="25140"/>
  </r>
  <r>
    <s v="743-04-1105"/>
    <s v="Cairo"/>
    <x v="2"/>
    <s v="Member"/>
    <x v="1"/>
    <x v="0"/>
    <n v="9722"/>
    <n v="9"/>
    <n v="43749"/>
    <n v="918729"/>
    <x v="1"/>
    <x v="73"/>
    <d v="1899-12-30T14:43:00"/>
    <s v="Ewallet"/>
    <n v="87498"/>
    <n v="4761904762"/>
    <n v="43749"/>
    <n v="6"/>
    <n v="87498"/>
  </r>
  <r>
    <s v="423-57-2993"/>
    <s v="Cairo"/>
    <x v="2"/>
    <s v="Normal"/>
    <x v="1"/>
    <x v="3"/>
    <n v="9339"/>
    <n v="6"/>
    <n v="28017"/>
    <n v="588357"/>
    <x v="1"/>
    <x v="39"/>
    <d v="1899-12-30T19:18:00"/>
    <s v="Ewallet"/>
    <n v="56034"/>
    <n v="4761904762"/>
    <n v="28017"/>
    <n v="10"/>
    <n v="56034"/>
  </r>
  <r>
    <s v="894-41-5205"/>
    <s v="Giza"/>
    <x v="1"/>
    <s v="Normal"/>
    <x v="0"/>
    <x v="4"/>
    <n v="4318"/>
    <n v="8"/>
    <n v="17272"/>
    <n v="362712"/>
    <x v="0"/>
    <x v="64"/>
    <d v="1899-12-30T19:39:00"/>
    <s v="Credit card"/>
    <n v="34544"/>
    <n v="4761904762"/>
    <n v="17272"/>
    <n v="83"/>
    <n v="34544"/>
  </r>
  <r>
    <s v="275-28-0149"/>
    <s v="Alex"/>
    <x v="0"/>
    <s v="Normal"/>
    <x v="1"/>
    <x v="3"/>
    <n v="6369"/>
    <n v="1"/>
    <n v="31845"/>
    <n v="668745"/>
    <x v="2"/>
    <x v="6"/>
    <d v="1899-12-30T16:21:00"/>
    <s v="Cash"/>
    <n v="6369"/>
    <n v="4761904762"/>
    <n v="31845"/>
    <n v="6"/>
    <n v="6369"/>
  </r>
  <r>
    <s v="101-17-6199"/>
    <s v="Alex"/>
    <x v="0"/>
    <s v="Normal"/>
    <x v="1"/>
    <x v="4"/>
    <n v="4579"/>
    <n v="7"/>
    <n v="160265"/>
    <n v="3365565"/>
    <x v="1"/>
    <x v="45"/>
    <d v="1899-12-30T19:44:00"/>
    <s v="Credit card"/>
    <n v="32053"/>
    <n v="4761904762"/>
    <n v="160265"/>
    <n v="7"/>
    <n v="32053"/>
  </r>
  <r>
    <s v="423-80-0988"/>
    <s v="Giza"/>
    <x v="1"/>
    <s v="Normal"/>
    <x v="1"/>
    <x v="3"/>
    <n v="764"/>
    <n v="2"/>
    <n v="764"/>
    <n v="16044"/>
    <x v="0"/>
    <x v="74"/>
    <d v="1899-12-30T19:42:00"/>
    <s v="Ewallet"/>
    <n v="1528"/>
    <n v="4761904762"/>
    <n v="764"/>
    <n v="65"/>
    <n v="1528"/>
  </r>
  <r>
    <s v="548-46-9322"/>
    <s v="Cairo"/>
    <x v="2"/>
    <s v="Normal"/>
    <x v="1"/>
    <x v="4"/>
    <n v="399"/>
    <n v="10"/>
    <n v="1995"/>
    <n v="41895"/>
    <x v="2"/>
    <x v="9"/>
    <d v="1899-12-30T15:24:00"/>
    <s v="Credit card"/>
    <n v="399"/>
    <n v="4761904762"/>
    <n v="1995"/>
    <n v="59"/>
    <n v="3990"/>
  </r>
  <r>
    <s v="505-02-0892"/>
    <s v="Cairo"/>
    <x v="2"/>
    <s v="Member"/>
    <x v="1"/>
    <x v="0"/>
    <n v="4257"/>
    <n v="8"/>
    <n v="17028"/>
    <n v="357588"/>
    <x v="2"/>
    <x v="6"/>
    <d v="1899-12-30T14:12:00"/>
    <s v="Ewallet"/>
    <n v="34056"/>
    <n v="4761904762"/>
    <n v="17028"/>
    <n v="56"/>
    <n v="34056"/>
  </r>
  <r>
    <s v="234-65-2137"/>
    <s v="Giza"/>
    <x v="1"/>
    <s v="Normal"/>
    <x v="1"/>
    <x v="2"/>
    <n v="9558"/>
    <n v="10"/>
    <n v="4779"/>
    <n v="100359"/>
    <x v="0"/>
    <x v="65"/>
    <d v="1899-12-30T13:32:00"/>
    <s v="Cash"/>
    <n v="9558"/>
    <n v="4761904762"/>
    <n v="4779"/>
    <n v="48"/>
    <n v="95580"/>
  </r>
  <r>
    <s v="687-47-8271"/>
    <s v="Alex"/>
    <x v="0"/>
    <s v="Normal"/>
    <x v="1"/>
    <x v="5"/>
    <n v="9898"/>
    <n v="10"/>
    <n v="4949"/>
    <n v="103929"/>
    <x v="2"/>
    <x v="4"/>
    <d v="1899-12-30T16:20:00"/>
    <s v="Credit card"/>
    <n v="9898"/>
    <n v="4761904762"/>
    <n v="4949"/>
    <n v="87"/>
    <n v="98980"/>
  </r>
  <r>
    <s v="796-32-9050"/>
    <s v="Alex"/>
    <x v="0"/>
    <s v="Normal"/>
    <x v="1"/>
    <x v="4"/>
    <n v="5128"/>
    <n v="6"/>
    <n v="15384"/>
    <n v="323064"/>
    <x v="0"/>
    <x v="64"/>
    <d v="1899-12-30T16:31:00"/>
    <s v="Cash"/>
    <n v="30768"/>
    <n v="4761904762"/>
    <n v="15384"/>
    <n v="65"/>
    <n v="30768"/>
  </r>
  <r>
    <s v="105-31-1824"/>
    <s v="Alex"/>
    <x v="0"/>
    <s v="Member"/>
    <x v="1"/>
    <x v="3"/>
    <n v="6952"/>
    <n v="7"/>
    <n v="24332"/>
    <n v="510972"/>
    <x v="2"/>
    <x v="60"/>
    <d v="1899-12-30T15:10:00"/>
    <s v="Credit card"/>
    <n v="48664"/>
    <n v="4761904762"/>
    <n v="24332"/>
    <n v="85"/>
    <n v="48664"/>
  </r>
  <r>
    <s v="249-42-3782"/>
    <s v="Alex"/>
    <x v="0"/>
    <s v="Normal"/>
    <x v="1"/>
    <x v="0"/>
    <n v="7001"/>
    <n v="5"/>
    <n v="175025"/>
    <n v="3675525"/>
    <x v="0"/>
    <x v="75"/>
    <d v="1899-12-30T11:36:00"/>
    <s v="Ewallet"/>
    <n v="35005"/>
    <n v="4761904762"/>
    <n v="175025"/>
    <n v="55"/>
    <n v="35005"/>
  </r>
  <r>
    <s v="316-55-4634"/>
    <s v="Cairo"/>
    <x v="2"/>
    <s v="Member"/>
    <x v="1"/>
    <x v="4"/>
    <n v="8005"/>
    <n v="5"/>
    <n v="200125"/>
    <n v="4202625"/>
    <x v="0"/>
    <x v="53"/>
    <d v="1899-12-30T12:45:00"/>
    <s v="Credit card"/>
    <n v="40025"/>
    <n v="4761904762"/>
    <n v="200125"/>
    <n v="94"/>
    <n v="40025"/>
  </r>
  <r>
    <s v="733-33-4967"/>
    <s v="Giza"/>
    <x v="1"/>
    <s v="Normal"/>
    <x v="1"/>
    <x v="1"/>
    <n v="2085"/>
    <n v="8"/>
    <n v="834"/>
    <n v="17514"/>
    <x v="1"/>
    <x v="2"/>
    <d v="1899-12-30T19:17:00"/>
    <s v="Cash"/>
    <n v="1668"/>
    <n v="4761904762"/>
    <n v="834"/>
    <n v="63"/>
    <n v="16680"/>
  </r>
  <r>
    <s v="608-27-6295"/>
    <s v="Cairo"/>
    <x v="2"/>
    <s v="Member"/>
    <x v="1"/>
    <x v="1"/>
    <n v="5289"/>
    <n v="6"/>
    <n v="15867"/>
    <n v="333207"/>
    <x v="0"/>
    <x v="64"/>
    <d v="1899-12-30T17:34:00"/>
    <s v="Credit card"/>
    <n v="31734"/>
    <n v="4761904762"/>
    <n v="15867"/>
    <n v="98"/>
    <n v="31734"/>
  </r>
  <r>
    <s v="414-12-7047"/>
    <s v="Cairo"/>
    <x v="2"/>
    <s v="Normal"/>
    <x v="1"/>
    <x v="4"/>
    <n v="1979"/>
    <n v="8"/>
    <n v="7916"/>
    <n v="166236"/>
    <x v="0"/>
    <x v="68"/>
    <d v="1899-12-30T12:04:00"/>
    <s v="Ewallet"/>
    <n v="15832"/>
    <n v="4761904762"/>
    <n v="7916"/>
    <n v="87"/>
    <n v="15832"/>
  </r>
  <r>
    <s v="827-26-2100"/>
    <s v="Alex"/>
    <x v="0"/>
    <s v="Member"/>
    <x v="1"/>
    <x v="2"/>
    <n v="3384"/>
    <n v="9"/>
    <n v="15228"/>
    <n v="319788"/>
    <x v="1"/>
    <x v="76"/>
    <d v="1899-12-30T16:21:00"/>
    <s v="Ewallet"/>
    <n v="30456"/>
    <n v="4761904762"/>
    <n v="15228"/>
    <n v="88"/>
    <n v="30456"/>
  </r>
  <r>
    <s v="175-54-2529"/>
    <s v="Alex"/>
    <x v="0"/>
    <s v="Member"/>
    <x v="1"/>
    <x v="4"/>
    <n v="2217"/>
    <n v="8"/>
    <n v="8868"/>
    <n v="186228"/>
    <x v="1"/>
    <x v="2"/>
    <d v="1899-12-30T17:01:00"/>
    <s v="Credit card"/>
    <n v="17736"/>
    <n v="4761904762"/>
    <n v="8868"/>
    <n v="96"/>
    <n v="17736"/>
  </r>
  <r>
    <s v="139-52-2867"/>
    <s v="Giza"/>
    <x v="1"/>
    <s v="Normal"/>
    <x v="0"/>
    <x v="5"/>
    <n v="2251"/>
    <n v="7"/>
    <n v="78785"/>
    <n v="1654485"/>
    <x v="2"/>
    <x v="77"/>
    <d v="1899-12-30T10:50:00"/>
    <s v="Credit card"/>
    <n v="15757"/>
    <n v="4761904762"/>
    <n v="78785"/>
    <n v="48"/>
    <n v="15757"/>
  </r>
  <r>
    <s v="407-63-8975"/>
    <s v="Alex"/>
    <x v="0"/>
    <s v="Normal"/>
    <x v="1"/>
    <x v="4"/>
    <n v="7388"/>
    <n v="6"/>
    <n v="22164"/>
    <n v="465444"/>
    <x v="1"/>
    <x v="28"/>
    <d v="1899-12-30T19:16:00"/>
    <s v="Ewallet"/>
    <n v="44328"/>
    <n v="4761904762"/>
    <n v="22164"/>
    <n v="44"/>
    <n v="44328"/>
  </r>
  <r>
    <s v="342-65-4817"/>
    <s v="Giza"/>
    <x v="1"/>
    <s v="Member"/>
    <x v="1"/>
    <x v="0"/>
    <n v="868"/>
    <n v="3"/>
    <n v="1302"/>
    <n v="27342"/>
    <x v="0"/>
    <x v="26"/>
    <d v="1899-12-30T16:47:00"/>
    <s v="Ewallet"/>
    <n v="2604"/>
    <n v="4761904762"/>
    <n v="1302"/>
    <n v="99"/>
    <n v="2604"/>
  </r>
  <r>
    <s v="130-98-8941"/>
    <s v="Giza"/>
    <x v="1"/>
    <s v="Normal"/>
    <x v="1"/>
    <x v="5"/>
    <n v="6426"/>
    <n v="7"/>
    <n v="22491"/>
    <n v="472311"/>
    <x v="2"/>
    <x v="57"/>
    <d v="1899-12-30T10:00:00"/>
    <s v="Cash"/>
    <n v="44982"/>
    <n v="4761904762"/>
    <n v="22491"/>
    <n v="57"/>
    <n v="44982"/>
  </r>
  <r>
    <s v="434-83-9547"/>
    <s v="Giza"/>
    <x v="1"/>
    <s v="Member"/>
    <x v="1"/>
    <x v="4"/>
    <n v="3847"/>
    <n v="8"/>
    <n v="15388"/>
    <n v="323148"/>
    <x v="0"/>
    <x v="54"/>
    <d v="1899-12-30T11:51:00"/>
    <s v="Cash"/>
    <n v="30776"/>
    <n v="4761904762"/>
    <n v="15388"/>
    <n v="77"/>
    <n v="30776"/>
  </r>
  <r>
    <s v="851-28-6367"/>
    <s v="Alex"/>
    <x v="0"/>
    <s v="Member"/>
    <x v="1"/>
    <x v="3"/>
    <n v="155"/>
    <n v="10"/>
    <n v="775"/>
    <n v="16275"/>
    <x v="1"/>
    <x v="28"/>
    <d v="1899-12-30T10:55:00"/>
    <s v="Ewallet"/>
    <n v="155"/>
    <n v="4761904762"/>
    <n v="775"/>
    <n v="8"/>
    <n v="1550"/>
  </r>
  <r>
    <s v="824-88-3614"/>
    <s v="Giza"/>
    <x v="1"/>
    <s v="Normal"/>
    <x v="1"/>
    <x v="0"/>
    <n v="3431"/>
    <n v="8"/>
    <n v="13724"/>
    <n v="288204"/>
    <x v="0"/>
    <x v="25"/>
    <d v="1899-12-30T15:00:00"/>
    <s v="Ewallet"/>
    <n v="27448"/>
    <n v="4761904762"/>
    <n v="13724"/>
    <n v="57"/>
    <n v="27448"/>
  </r>
  <r>
    <s v="586-25-0848"/>
    <s v="Alex"/>
    <x v="0"/>
    <s v="Normal"/>
    <x v="0"/>
    <x v="3"/>
    <n v="1234"/>
    <n v="7"/>
    <n v="4319"/>
    <n v="90699"/>
    <x v="1"/>
    <x v="31"/>
    <d v="1899-12-30T11:19:00"/>
    <s v="Credit card"/>
    <n v="8638"/>
    <n v="4761904762"/>
    <n v="4319"/>
    <n v="67"/>
    <n v="8638"/>
  </r>
  <r>
    <s v="895-66-0685"/>
    <s v="Cairo"/>
    <x v="2"/>
    <s v="Member"/>
    <x v="1"/>
    <x v="4"/>
    <n v="1808"/>
    <n v="3"/>
    <n v="2712"/>
    <n v="56952"/>
    <x v="1"/>
    <x v="19"/>
    <d v="1899-12-30T19:46:00"/>
    <s v="Ewallet"/>
    <n v="5424"/>
    <n v="4761904762"/>
    <n v="2712"/>
    <n v="8"/>
    <n v="5424"/>
  </r>
  <r>
    <s v="305-14-0245"/>
    <s v="Cairo"/>
    <x v="2"/>
    <s v="Member"/>
    <x v="0"/>
    <x v="2"/>
    <n v="9449"/>
    <n v="8"/>
    <n v="37796"/>
    <n v="793716"/>
    <x v="1"/>
    <x v="2"/>
    <d v="1899-12-30T19:00:00"/>
    <s v="Ewallet"/>
    <n v="75592"/>
    <n v="4761904762"/>
    <n v="37796"/>
    <n v="75"/>
    <n v="75592"/>
  </r>
  <r>
    <s v="732-04-5373"/>
    <s v="Cairo"/>
    <x v="2"/>
    <s v="Member"/>
    <x v="1"/>
    <x v="2"/>
    <n v="4647"/>
    <n v="4"/>
    <n v="9294"/>
    <n v="195174"/>
    <x v="2"/>
    <x v="4"/>
    <d v="1899-12-30T10:53:00"/>
    <s v="Cash"/>
    <n v="18588"/>
    <n v="4761904762"/>
    <n v="9294"/>
    <n v="7"/>
    <n v="18588"/>
  </r>
  <r>
    <s v="400-60-7251"/>
    <s v="Alex"/>
    <x v="0"/>
    <s v="Normal"/>
    <x v="1"/>
    <x v="2"/>
    <n v="7407"/>
    <n v="1"/>
    <n v="37035"/>
    <n v="777735"/>
    <x v="2"/>
    <x v="34"/>
    <d v="1899-12-30T12:50:00"/>
    <s v="Ewallet"/>
    <n v="7407"/>
    <n v="4761904762"/>
    <n v="37035"/>
    <n v="99"/>
    <n v="7407"/>
  </r>
  <r>
    <s v="593-65-1552"/>
    <s v="Giza"/>
    <x v="1"/>
    <s v="Normal"/>
    <x v="0"/>
    <x v="2"/>
    <n v="6981"/>
    <n v="4"/>
    <n v="13962"/>
    <n v="293202"/>
    <x v="0"/>
    <x v="26"/>
    <d v="1899-12-30T20:50:00"/>
    <s v="Credit card"/>
    <n v="27924"/>
    <n v="4761904762"/>
    <n v="13962"/>
    <n v="59"/>
    <n v="27924"/>
  </r>
  <r>
    <s v="284-34-9626"/>
    <s v="Cairo"/>
    <x v="2"/>
    <s v="Normal"/>
    <x v="0"/>
    <x v="2"/>
    <n v="7704"/>
    <n v="3"/>
    <n v="11556"/>
    <n v="242676"/>
    <x v="2"/>
    <x v="48"/>
    <d v="1899-12-30T10:39:00"/>
    <s v="Credit card"/>
    <n v="23112"/>
    <n v="4761904762"/>
    <n v="11556"/>
    <n v="72"/>
    <n v="23112"/>
  </r>
  <r>
    <s v="437-58-8131"/>
    <s v="Cairo"/>
    <x v="2"/>
    <s v="Normal"/>
    <x v="0"/>
    <x v="5"/>
    <n v="7352"/>
    <n v="2"/>
    <n v="7352"/>
    <n v="154392"/>
    <x v="0"/>
    <x v="15"/>
    <d v="1899-12-30T13:41:00"/>
    <s v="Ewallet"/>
    <n v="14704"/>
    <n v="4761904762"/>
    <n v="7352"/>
    <n v="46"/>
    <n v="14704"/>
  </r>
  <r>
    <s v="286-43-6208"/>
    <s v="Giza"/>
    <x v="1"/>
    <s v="Normal"/>
    <x v="0"/>
    <x v="4"/>
    <n v="878"/>
    <n v="9"/>
    <n v="3951"/>
    <n v="82971"/>
    <x v="1"/>
    <x v="32"/>
    <d v="1899-12-30T19:08:00"/>
    <s v="Cash"/>
    <n v="7902"/>
    <n v="4761904762"/>
    <n v="3951"/>
    <n v="92"/>
    <n v="7902"/>
  </r>
  <r>
    <s v="641-43-2399"/>
    <s v="Cairo"/>
    <x v="2"/>
    <s v="Normal"/>
    <x v="1"/>
    <x v="2"/>
    <n v="2555"/>
    <n v="4"/>
    <n v="511"/>
    <n v="10731"/>
    <x v="0"/>
    <x v="53"/>
    <d v="1899-12-30T20:23:00"/>
    <s v="Ewallet"/>
    <n v="1022"/>
    <n v="4761904762"/>
    <n v="511"/>
    <n v="57"/>
    <n v="10220"/>
  </r>
  <r>
    <s v="831-07-6050"/>
    <s v="Alex"/>
    <x v="0"/>
    <s v="Normal"/>
    <x v="1"/>
    <x v="1"/>
    <n v="3271"/>
    <n v="5"/>
    <n v="81775"/>
    <n v="1717275"/>
    <x v="1"/>
    <x v="35"/>
    <d v="1899-12-30T11:30:00"/>
    <s v="Credit card"/>
    <n v="16355"/>
    <n v="4761904762"/>
    <n v="81775"/>
    <n v="99"/>
    <n v="16355"/>
  </r>
  <r>
    <s v="556-86-3144"/>
    <s v="Giza"/>
    <x v="1"/>
    <s v="Member"/>
    <x v="0"/>
    <x v="5"/>
    <n v="7429"/>
    <n v="1"/>
    <n v="37145"/>
    <n v="780045"/>
    <x v="0"/>
    <x v="50"/>
    <d v="1899-12-30T19:30:00"/>
    <s v="Cash"/>
    <n v="7429"/>
    <n v="4761904762"/>
    <n v="37145"/>
    <n v="5"/>
    <n v="7429"/>
  </r>
  <r>
    <s v="848-24-9445"/>
    <s v="Giza"/>
    <x v="1"/>
    <s v="Member"/>
    <x v="1"/>
    <x v="0"/>
    <n v="437"/>
    <n v="2"/>
    <n v="437"/>
    <n v="9177"/>
    <x v="1"/>
    <x v="58"/>
    <d v="1899-12-30T18:03:00"/>
    <s v="Cash"/>
    <n v="874"/>
    <n v="4761904762"/>
    <n v="437"/>
    <n v="49"/>
    <n v="874"/>
  </r>
  <r>
    <s v="856-22-8149"/>
    <s v="Alex"/>
    <x v="0"/>
    <s v="Normal"/>
    <x v="0"/>
    <x v="2"/>
    <n v="2529"/>
    <n v="1"/>
    <n v="12645"/>
    <n v="265545"/>
    <x v="1"/>
    <x v="28"/>
    <d v="1899-12-30T10:13:00"/>
    <s v="Ewallet"/>
    <n v="2529"/>
    <n v="4761904762"/>
    <n v="12645"/>
    <n v="61"/>
    <n v="2529"/>
  </r>
  <r>
    <s v="699-01-4164"/>
    <s v="Giza"/>
    <x v="1"/>
    <s v="Normal"/>
    <x v="1"/>
    <x v="0"/>
    <n v="415"/>
    <n v="4"/>
    <n v="83"/>
    <n v="1743"/>
    <x v="1"/>
    <x v="41"/>
    <d v="1899-12-30T19:58:00"/>
    <s v="Credit card"/>
    <n v="166"/>
    <n v="4761904762"/>
    <n v="83"/>
    <n v="82"/>
    <n v="1660"/>
  </r>
  <r>
    <s v="420-11-4919"/>
    <s v="Giza"/>
    <x v="1"/>
    <s v="Member"/>
    <x v="0"/>
    <x v="4"/>
    <n v="7139"/>
    <n v="5"/>
    <n v="178475"/>
    <n v="3747975"/>
    <x v="2"/>
    <x v="21"/>
    <d v="1899-12-30T19:57:00"/>
    <s v="Credit card"/>
    <n v="35695"/>
    <n v="4761904762"/>
    <n v="178475"/>
    <n v="55"/>
    <n v="35695"/>
  </r>
  <r>
    <s v="606-80-4905"/>
    <s v="Giza"/>
    <x v="1"/>
    <s v="Member"/>
    <x v="0"/>
    <x v="3"/>
    <n v="1915"/>
    <n v="6"/>
    <n v="5745"/>
    <n v="120645"/>
    <x v="0"/>
    <x v="71"/>
    <d v="1899-12-30T10:01:00"/>
    <s v="Credit card"/>
    <n v="1149"/>
    <n v="4761904762"/>
    <n v="5745"/>
    <n v="68"/>
    <n v="11490"/>
  </r>
  <r>
    <s v="542-41-0513"/>
    <s v="Cairo"/>
    <x v="2"/>
    <s v="Member"/>
    <x v="0"/>
    <x v="1"/>
    <n v="5749"/>
    <n v="4"/>
    <n v="11498"/>
    <n v="241458"/>
    <x v="1"/>
    <x v="20"/>
    <d v="1899-12-30T11:57:00"/>
    <s v="Cash"/>
    <n v="22996"/>
    <n v="4761904762"/>
    <n v="11498"/>
    <n v="66"/>
    <n v="22996"/>
  </r>
  <r>
    <s v="426-39-2418"/>
    <s v="Giza"/>
    <x v="1"/>
    <s v="Normal"/>
    <x v="1"/>
    <x v="1"/>
    <n v="6141"/>
    <n v="7"/>
    <n v="214935"/>
    <n v="4513635"/>
    <x v="0"/>
    <x v="78"/>
    <d v="1899-12-30T10:02:00"/>
    <s v="Cash"/>
    <n v="42987"/>
    <n v="4761904762"/>
    <n v="214935"/>
    <n v="98"/>
    <n v="42987"/>
  </r>
  <r>
    <s v="875-46-5808"/>
    <s v="Cairo"/>
    <x v="2"/>
    <s v="Member"/>
    <x v="1"/>
    <x v="0"/>
    <n v="259"/>
    <n v="10"/>
    <n v="1295"/>
    <n v="27195"/>
    <x v="2"/>
    <x v="10"/>
    <d v="1899-12-30T14:51:00"/>
    <s v="Ewallet"/>
    <n v="259"/>
    <n v="4761904762"/>
    <n v="1295"/>
    <n v="87"/>
    <n v="2590"/>
  </r>
  <r>
    <s v="394-43-4238"/>
    <s v="Cairo"/>
    <x v="2"/>
    <s v="Member"/>
    <x v="1"/>
    <x v="2"/>
    <n v="1777"/>
    <n v="5"/>
    <n v="44425"/>
    <n v="932925"/>
    <x v="2"/>
    <x v="42"/>
    <d v="1899-12-30T12:42:00"/>
    <s v="Credit card"/>
    <n v="8885"/>
    <n v="4761904762"/>
    <n v="44425"/>
    <n v="54"/>
    <n v="8885"/>
  </r>
  <r>
    <s v="749-24-1565"/>
    <s v="Alex"/>
    <x v="0"/>
    <s v="Normal"/>
    <x v="0"/>
    <x v="0"/>
    <n v="2303"/>
    <n v="9"/>
    <n v="103635"/>
    <n v="2176335"/>
    <x v="0"/>
    <x v="75"/>
    <d v="1899-12-30T12:02:00"/>
    <s v="Ewallet"/>
    <n v="20727"/>
    <n v="4761904762"/>
    <n v="103635"/>
    <n v="79"/>
    <n v="20727"/>
  </r>
  <r>
    <s v="672-51-8681"/>
    <s v="Giza"/>
    <x v="1"/>
    <s v="Member"/>
    <x v="0"/>
    <x v="1"/>
    <n v="6665"/>
    <n v="9"/>
    <n v="299925"/>
    <n v="6298425"/>
    <x v="0"/>
    <x v="72"/>
    <d v="1899-12-30T18:19:00"/>
    <s v="Credit card"/>
    <n v="59985"/>
    <n v="4761904762"/>
    <n v="299925"/>
    <n v="97"/>
    <n v="59985"/>
  </r>
  <r>
    <s v="263-87-5680"/>
    <s v="Giza"/>
    <x v="1"/>
    <s v="Member"/>
    <x v="0"/>
    <x v="2"/>
    <n v="2853"/>
    <n v="10"/>
    <n v="14265"/>
    <n v="299565"/>
    <x v="1"/>
    <x v="79"/>
    <d v="1899-12-30T17:38:00"/>
    <s v="Ewallet"/>
    <n v="2853"/>
    <n v="4761904762"/>
    <n v="14265"/>
    <n v="78"/>
    <n v="28530"/>
  </r>
  <r>
    <s v="573-58-9734"/>
    <s v="Cairo"/>
    <x v="2"/>
    <s v="Normal"/>
    <x v="0"/>
    <x v="5"/>
    <n v="3037"/>
    <n v="3"/>
    <n v="45555"/>
    <n v="956655"/>
    <x v="1"/>
    <x v="61"/>
    <d v="1899-12-30T13:41:00"/>
    <s v="Ewallet"/>
    <n v="9111"/>
    <n v="4761904762"/>
    <n v="45555"/>
    <n v="51"/>
    <n v="9111"/>
  </r>
  <r>
    <s v="817-69-8206"/>
    <s v="Cairo"/>
    <x v="2"/>
    <s v="Normal"/>
    <x v="0"/>
    <x v="1"/>
    <n v="9973"/>
    <n v="9"/>
    <n v="448785"/>
    <n v="9424485"/>
    <x v="1"/>
    <x v="22"/>
    <d v="1899-12-30T19:42:00"/>
    <s v="Credit card"/>
    <n v="89757"/>
    <n v="4761904762"/>
    <n v="448785"/>
    <n v="65"/>
    <n v="89757"/>
  </r>
  <r>
    <s v="888-02-0338"/>
    <s v="Alex"/>
    <x v="0"/>
    <s v="Normal"/>
    <x v="1"/>
    <x v="1"/>
    <n v="2623"/>
    <n v="9"/>
    <n v="118035"/>
    <n v="2478735"/>
    <x v="0"/>
    <x v="25"/>
    <d v="1899-12-30T20:24:00"/>
    <s v="Ewallet"/>
    <n v="23607"/>
    <n v="4761904762"/>
    <n v="118035"/>
    <n v="59"/>
    <n v="23607"/>
  </r>
  <r>
    <s v="677-11-0152"/>
    <s v="Giza"/>
    <x v="1"/>
    <s v="Normal"/>
    <x v="0"/>
    <x v="4"/>
    <n v="9326"/>
    <n v="9"/>
    <n v="41967"/>
    <n v="881307"/>
    <x v="0"/>
    <x v="65"/>
    <d v="1899-12-30T18:08:00"/>
    <s v="Cash"/>
    <n v="83934"/>
    <n v="4761904762"/>
    <n v="41967"/>
    <n v="88"/>
    <n v="83934"/>
  </r>
  <r>
    <s v="142-63-6033"/>
    <s v="Cairo"/>
    <x v="2"/>
    <s v="Normal"/>
    <x v="1"/>
    <x v="2"/>
    <n v="9236"/>
    <n v="5"/>
    <n v="2309"/>
    <n v="48489"/>
    <x v="1"/>
    <x v="80"/>
    <d v="1899-12-30T19:17:00"/>
    <s v="Ewallet"/>
    <n v="4618"/>
    <n v="4761904762"/>
    <n v="2309"/>
    <n v="49"/>
    <n v="46180"/>
  </r>
  <r>
    <s v="656-16-1063"/>
    <s v="Cairo"/>
    <x v="2"/>
    <s v="Normal"/>
    <x v="1"/>
    <x v="3"/>
    <n v="4642"/>
    <n v="3"/>
    <n v="6963"/>
    <n v="146223"/>
    <x v="0"/>
    <x v="72"/>
    <d v="1899-12-30T13:24:00"/>
    <s v="Credit card"/>
    <n v="13926"/>
    <n v="4761904762"/>
    <n v="6963"/>
    <n v="44"/>
    <n v="13926"/>
  </r>
  <r>
    <s v="891-58-8335"/>
    <s v="Cairo"/>
    <x v="2"/>
    <s v="Member"/>
    <x v="0"/>
    <x v="3"/>
    <n v="2961"/>
    <n v="7"/>
    <n v="103635"/>
    <n v="2176335"/>
    <x v="1"/>
    <x v="16"/>
    <d v="1899-12-30T15:53:00"/>
    <s v="Cash"/>
    <n v="20727"/>
    <n v="4761904762"/>
    <n v="103635"/>
    <n v="65"/>
    <n v="20727"/>
  </r>
  <r>
    <s v="802-43-8934"/>
    <s v="Alex"/>
    <x v="0"/>
    <s v="Normal"/>
    <x v="1"/>
    <x v="2"/>
    <n v="1828"/>
    <n v="1"/>
    <n v="914"/>
    <n v="19194"/>
    <x v="1"/>
    <x v="23"/>
    <d v="1899-12-30T15:05:00"/>
    <s v="Credit card"/>
    <n v="1828"/>
    <n v="4761904762"/>
    <n v="914"/>
    <n v="83"/>
    <n v="1828"/>
  </r>
  <r>
    <s v="560-30-5617"/>
    <s v="Cairo"/>
    <x v="2"/>
    <s v="Normal"/>
    <x v="0"/>
    <x v="3"/>
    <n v="2477"/>
    <n v="5"/>
    <n v="61925"/>
    <n v="1300425"/>
    <x v="1"/>
    <x v="62"/>
    <d v="1899-12-30T18:27:00"/>
    <s v="Cash"/>
    <n v="12385"/>
    <n v="4761904762"/>
    <n v="61925"/>
    <n v="85"/>
    <n v="12385"/>
  </r>
  <r>
    <s v="319-74-2561"/>
    <s v="Alex"/>
    <x v="0"/>
    <s v="Member"/>
    <x v="0"/>
    <x v="1"/>
    <n v="9464"/>
    <n v="3"/>
    <n v="14196"/>
    <n v="298116"/>
    <x v="2"/>
    <x v="81"/>
    <d v="1899-12-30T16:55:00"/>
    <s v="Cash"/>
    <n v="28392"/>
    <n v="4761904762"/>
    <n v="14196"/>
    <n v="55"/>
    <n v="28392"/>
  </r>
  <r>
    <s v="549-03-9315"/>
    <s v="Cairo"/>
    <x v="2"/>
    <s v="Normal"/>
    <x v="1"/>
    <x v="5"/>
    <n v="9487"/>
    <n v="8"/>
    <n v="37948"/>
    <n v="796908"/>
    <x v="2"/>
    <x v="12"/>
    <d v="1899-12-30T12:58:00"/>
    <s v="Ewallet"/>
    <n v="75896"/>
    <n v="4761904762"/>
    <n v="37948"/>
    <n v="87"/>
    <n v="75896"/>
  </r>
  <r>
    <s v="790-29-1172"/>
    <s v="Cairo"/>
    <x v="2"/>
    <s v="Normal"/>
    <x v="0"/>
    <x v="4"/>
    <n v="5734"/>
    <n v="3"/>
    <n v="8601"/>
    <n v="180621"/>
    <x v="1"/>
    <x v="24"/>
    <d v="1899-12-30T18:59:00"/>
    <s v="Credit card"/>
    <n v="17202"/>
    <n v="4761904762"/>
    <n v="8601"/>
    <n v="79"/>
    <n v="17202"/>
  </r>
  <r>
    <s v="239-36-3640"/>
    <s v="Cairo"/>
    <x v="2"/>
    <s v="Normal"/>
    <x v="1"/>
    <x v="1"/>
    <n v="4535"/>
    <n v="6"/>
    <n v="13605"/>
    <n v="285705"/>
    <x v="0"/>
    <x v="82"/>
    <d v="1899-12-30T13:44:00"/>
    <s v="Ewallet"/>
    <n v="2721"/>
    <n v="4761904762"/>
    <n v="13605"/>
    <n v="61"/>
    <n v="27210"/>
  </r>
  <r>
    <s v="468-01-2051"/>
    <s v="Cairo"/>
    <x v="2"/>
    <s v="Normal"/>
    <x v="1"/>
    <x v="4"/>
    <n v="6208"/>
    <n v="7"/>
    <n v="21728"/>
    <n v="456288"/>
    <x v="1"/>
    <x v="43"/>
    <d v="1899-12-30T13:46:00"/>
    <s v="Ewallet"/>
    <n v="43456"/>
    <n v="4761904762"/>
    <n v="21728"/>
    <n v="54"/>
    <n v="43456"/>
  </r>
  <r>
    <s v="389-25-3394"/>
    <s v="Giza"/>
    <x v="1"/>
    <s v="Normal"/>
    <x v="1"/>
    <x v="1"/>
    <n v="1181"/>
    <n v="5"/>
    <n v="29525"/>
    <n v="620025"/>
    <x v="2"/>
    <x v="21"/>
    <d v="1899-12-30T18:06:00"/>
    <s v="Cash"/>
    <n v="5905"/>
    <n v="4761904762"/>
    <n v="29525"/>
    <n v="94"/>
    <n v="5905"/>
  </r>
  <r>
    <s v="279-62-1445"/>
    <s v="Giza"/>
    <x v="1"/>
    <s v="Member"/>
    <x v="0"/>
    <x v="5"/>
    <n v="1254"/>
    <n v="1"/>
    <n v="627"/>
    <n v="13167"/>
    <x v="2"/>
    <x v="81"/>
    <d v="1899-12-30T12:38:00"/>
    <s v="Cash"/>
    <n v="1254"/>
    <n v="4761904762"/>
    <n v="627"/>
    <n v="82"/>
    <n v="1254"/>
  </r>
  <r>
    <s v="213-72-6612"/>
    <s v="Alex"/>
    <x v="0"/>
    <s v="Normal"/>
    <x v="1"/>
    <x v="4"/>
    <n v="4325"/>
    <n v="2"/>
    <n v="4325"/>
    <n v="90825"/>
    <x v="1"/>
    <x v="80"/>
    <d v="1899-12-30T15:56:00"/>
    <s v="Cash"/>
    <n v="865"/>
    <n v="4761904762"/>
    <n v="4325"/>
    <n v="62"/>
    <n v="8650"/>
  </r>
  <r>
    <s v="746-68-6593"/>
    <s v="Giza"/>
    <x v="1"/>
    <s v="Member"/>
    <x v="0"/>
    <x v="3"/>
    <n v="8716"/>
    <n v="2"/>
    <n v="8716"/>
    <n v="183036"/>
    <x v="0"/>
    <x v="83"/>
    <d v="1899-12-30T14:29:00"/>
    <s v="Credit card"/>
    <n v="17432"/>
    <n v="4761904762"/>
    <n v="8716"/>
    <n v="97"/>
    <n v="17432"/>
  </r>
  <r>
    <s v="836-82-5858"/>
    <s v="Cairo"/>
    <x v="2"/>
    <s v="Member"/>
    <x v="1"/>
    <x v="0"/>
    <n v="6937"/>
    <n v="9"/>
    <n v="312165"/>
    <n v="6555465"/>
    <x v="0"/>
    <x v="53"/>
    <d v="1899-12-30T19:14:00"/>
    <s v="Ewallet"/>
    <n v="62433"/>
    <n v="4761904762"/>
    <n v="312165"/>
    <n v="4"/>
    <n v="62433"/>
  </r>
  <r>
    <s v="583-72-1480"/>
    <s v="Giza"/>
    <x v="1"/>
    <s v="Member"/>
    <x v="1"/>
    <x v="1"/>
    <n v="3706"/>
    <n v="4"/>
    <n v="7412"/>
    <n v="155652"/>
    <x v="0"/>
    <x v="82"/>
    <d v="1899-12-30T16:24:00"/>
    <s v="Ewallet"/>
    <n v="14824"/>
    <n v="4761904762"/>
    <n v="7412"/>
    <n v="97"/>
    <n v="14824"/>
  </r>
  <r>
    <s v="466-61-5506"/>
    <s v="Cairo"/>
    <x v="2"/>
    <s v="Member"/>
    <x v="0"/>
    <x v="1"/>
    <n v="907"/>
    <n v="6"/>
    <n v="2721"/>
    <n v="57141"/>
    <x v="2"/>
    <x v="84"/>
    <d v="1899-12-30T10:52:00"/>
    <s v="Cash"/>
    <n v="5442"/>
    <n v="4761904762"/>
    <n v="2721"/>
    <n v="53"/>
    <n v="5442"/>
  </r>
  <r>
    <s v="721-86-6247"/>
    <s v="Alex"/>
    <x v="0"/>
    <s v="Normal"/>
    <x v="0"/>
    <x v="2"/>
    <n v="6342"/>
    <n v="8"/>
    <n v="25368"/>
    <n v="532728"/>
    <x v="1"/>
    <x v="16"/>
    <d v="1899-12-30T12:55:00"/>
    <s v="Ewallet"/>
    <n v="50736"/>
    <n v="4761904762"/>
    <n v="25368"/>
    <n v="74"/>
    <n v="50736"/>
  </r>
  <r>
    <s v="289-65-5721"/>
    <s v="Cairo"/>
    <x v="2"/>
    <s v="Normal"/>
    <x v="0"/>
    <x v="5"/>
    <n v="8137"/>
    <n v="2"/>
    <n v="8137"/>
    <n v="170877"/>
    <x v="0"/>
    <x v="53"/>
    <d v="1899-12-30T19:28:00"/>
    <s v="Cash"/>
    <n v="16274"/>
    <n v="4761904762"/>
    <n v="8137"/>
    <n v="65"/>
    <n v="16274"/>
  </r>
  <r>
    <s v="545-46-3100"/>
    <s v="Cairo"/>
    <x v="2"/>
    <s v="Member"/>
    <x v="0"/>
    <x v="1"/>
    <n v="1059"/>
    <n v="3"/>
    <n v="15885"/>
    <n v="333585"/>
    <x v="1"/>
    <x v="41"/>
    <d v="1899-12-30T13:52:00"/>
    <s v="Credit card"/>
    <n v="3177"/>
    <n v="4761904762"/>
    <n v="15885"/>
    <n v="87"/>
    <n v="3177"/>
  </r>
  <r>
    <s v="418-02-5978"/>
    <s v="Cairo"/>
    <x v="2"/>
    <s v="Normal"/>
    <x v="0"/>
    <x v="0"/>
    <n v="8409"/>
    <n v="9"/>
    <n v="378405"/>
    <n v="7946505"/>
    <x v="2"/>
    <x v="48"/>
    <d v="1899-12-30T10:54:00"/>
    <s v="Cash"/>
    <n v="75681"/>
    <n v="4761904762"/>
    <n v="378405"/>
    <n v="8"/>
    <n v="75681"/>
  </r>
  <r>
    <s v="269-04-5750"/>
    <s v="Cairo"/>
    <x v="2"/>
    <s v="Member"/>
    <x v="1"/>
    <x v="5"/>
    <n v="7382"/>
    <n v="4"/>
    <n v="14764"/>
    <n v="310044"/>
    <x v="2"/>
    <x v="81"/>
    <d v="1899-12-30T18:31:00"/>
    <s v="Cash"/>
    <n v="29528"/>
    <n v="4761904762"/>
    <n v="14764"/>
    <n v="67"/>
    <n v="29528"/>
  </r>
  <r>
    <s v="157-13-5295"/>
    <s v="Alex"/>
    <x v="0"/>
    <s v="Member"/>
    <x v="1"/>
    <x v="0"/>
    <n v="5194"/>
    <n v="10"/>
    <n v="2597"/>
    <n v="54537"/>
    <x v="1"/>
    <x v="11"/>
    <d v="1899-12-30T18:24:00"/>
    <s v="Ewallet"/>
    <n v="5194"/>
    <n v="4761904762"/>
    <n v="2597"/>
    <n v="65"/>
    <n v="51940"/>
  </r>
  <r>
    <s v="645-78-8093"/>
    <s v="Alex"/>
    <x v="0"/>
    <s v="Normal"/>
    <x v="0"/>
    <x v="3"/>
    <n v="9314"/>
    <n v="2"/>
    <n v="9314"/>
    <n v="195594"/>
    <x v="0"/>
    <x v="40"/>
    <d v="1899-12-30T18:09:00"/>
    <s v="Ewallet"/>
    <n v="18628"/>
    <n v="4761904762"/>
    <n v="9314"/>
    <n v="41"/>
    <n v="18628"/>
  </r>
  <r>
    <s v="211-30-9270"/>
    <s v="Giza"/>
    <x v="1"/>
    <s v="Normal"/>
    <x v="1"/>
    <x v="0"/>
    <n v="1741"/>
    <n v="5"/>
    <n v="43525"/>
    <n v="914025"/>
    <x v="0"/>
    <x v="26"/>
    <d v="1899-12-30T15:16:00"/>
    <s v="Credit card"/>
    <n v="8705"/>
    <n v="4761904762"/>
    <n v="43525"/>
    <n v="49"/>
    <n v="8705"/>
  </r>
  <r>
    <s v="755-12-3214"/>
    <s v="Giza"/>
    <x v="1"/>
    <s v="Member"/>
    <x v="0"/>
    <x v="5"/>
    <n v="4422"/>
    <n v="5"/>
    <n v="11055"/>
    <n v="232155"/>
    <x v="1"/>
    <x v="19"/>
    <d v="1899-12-30T17:07:00"/>
    <s v="Credit card"/>
    <n v="2211"/>
    <n v="4761904762"/>
    <n v="11055"/>
    <n v="86"/>
    <n v="22110"/>
  </r>
  <r>
    <s v="346-84-3103"/>
    <s v="Cairo"/>
    <x v="2"/>
    <s v="Member"/>
    <x v="0"/>
    <x v="1"/>
    <n v="1322"/>
    <n v="5"/>
    <n v="3305"/>
    <n v="69405"/>
    <x v="1"/>
    <x v="22"/>
    <d v="1899-12-30T19:26:00"/>
    <s v="Cash"/>
    <n v="661"/>
    <n v="4761904762"/>
    <n v="3305"/>
    <n v="43"/>
    <n v="6610"/>
  </r>
  <r>
    <s v="478-06-7835"/>
    <s v="Alex"/>
    <x v="0"/>
    <s v="Normal"/>
    <x v="1"/>
    <x v="5"/>
    <n v="8969"/>
    <n v="1"/>
    <n v="44845"/>
    <n v="941745"/>
    <x v="0"/>
    <x v="83"/>
    <d v="1899-12-30T11:20:00"/>
    <s v="Ewallet"/>
    <n v="8969"/>
    <n v="4761904762"/>
    <n v="44845"/>
    <n v="49"/>
    <n v="8969"/>
  </r>
  <r>
    <s v="540-11-4336"/>
    <s v="Alex"/>
    <x v="0"/>
    <s v="Normal"/>
    <x v="1"/>
    <x v="4"/>
    <n v="2494"/>
    <n v="9"/>
    <n v="11223"/>
    <n v="235683"/>
    <x v="0"/>
    <x v="83"/>
    <d v="1899-12-30T16:49:00"/>
    <s v="Credit card"/>
    <n v="22446"/>
    <n v="4761904762"/>
    <n v="11223"/>
    <n v="56"/>
    <n v="22446"/>
  </r>
  <r>
    <s v="448-81-5016"/>
    <s v="Alex"/>
    <x v="0"/>
    <s v="Normal"/>
    <x v="1"/>
    <x v="0"/>
    <n v="5977"/>
    <n v="2"/>
    <n v="5977"/>
    <n v="125517"/>
    <x v="1"/>
    <x v="16"/>
    <d v="1899-12-30T12:01:00"/>
    <s v="Credit card"/>
    <n v="11954"/>
    <n v="4761904762"/>
    <n v="5977"/>
    <n v="58"/>
    <n v="11954"/>
  </r>
  <r>
    <s v="142-72-4741"/>
    <s v="Giza"/>
    <x v="1"/>
    <s v="Member"/>
    <x v="1"/>
    <x v="5"/>
    <n v="932"/>
    <n v="2"/>
    <n v="932"/>
    <n v="19572"/>
    <x v="2"/>
    <x v="38"/>
    <d v="1899-12-30T18:37:00"/>
    <s v="Credit card"/>
    <n v="1864"/>
    <n v="4761904762"/>
    <n v="932"/>
    <n v="6"/>
    <n v="1864"/>
  </r>
  <r>
    <s v="217-58-1179"/>
    <s v="Alex"/>
    <x v="0"/>
    <s v="Member"/>
    <x v="1"/>
    <x v="2"/>
    <n v="6265"/>
    <n v="4"/>
    <n v="1253"/>
    <n v="26313"/>
    <x v="0"/>
    <x v="0"/>
    <d v="1899-12-30T11:25:00"/>
    <s v="Cash"/>
    <n v="2506"/>
    <n v="4761904762"/>
    <n v="1253"/>
    <n v="42"/>
    <n v="25060"/>
  </r>
  <r>
    <s v="376-02-8238"/>
    <s v="Cairo"/>
    <x v="2"/>
    <s v="Normal"/>
    <x v="1"/>
    <x v="2"/>
    <n v="9387"/>
    <n v="8"/>
    <n v="37548"/>
    <n v="788508"/>
    <x v="2"/>
    <x v="30"/>
    <d v="1899-12-30T18:42:00"/>
    <s v="Credit card"/>
    <n v="75096"/>
    <n v="4761904762"/>
    <n v="37548"/>
    <n v="83"/>
    <n v="75096"/>
  </r>
  <r>
    <s v="530-90-9855"/>
    <s v="Alex"/>
    <x v="0"/>
    <s v="Member"/>
    <x v="1"/>
    <x v="2"/>
    <n v="4759"/>
    <n v="8"/>
    <n v="19036"/>
    <n v="399756"/>
    <x v="0"/>
    <x v="17"/>
    <d v="1899-12-30T14:47:00"/>
    <s v="Cash"/>
    <n v="38072"/>
    <n v="4761904762"/>
    <n v="19036"/>
    <n v="57"/>
    <n v="38072"/>
  </r>
  <r>
    <s v="866-05-7563"/>
    <s v="Cairo"/>
    <x v="2"/>
    <s v="Member"/>
    <x v="0"/>
    <x v="1"/>
    <n v="814"/>
    <n v="3"/>
    <n v="1221"/>
    <n v="25641"/>
    <x v="2"/>
    <x v="57"/>
    <d v="1899-12-30T19:43:00"/>
    <s v="Cash"/>
    <n v="2442"/>
    <n v="4761904762"/>
    <n v="1221"/>
    <n v="48"/>
    <n v="2442"/>
  </r>
  <r>
    <s v="604-70-6476"/>
    <s v="Alex"/>
    <x v="0"/>
    <s v="Member"/>
    <x v="1"/>
    <x v="5"/>
    <n v="1794"/>
    <n v="5"/>
    <n v="4485"/>
    <n v="94185"/>
    <x v="0"/>
    <x v="54"/>
    <d v="1899-12-30T14:04:00"/>
    <s v="Ewallet"/>
    <n v="897"/>
    <n v="4761904762"/>
    <n v="4485"/>
    <n v="68"/>
    <n v="8970"/>
  </r>
  <r>
    <s v="799-71-1548"/>
    <s v="Alex"/>
    <x v="0"/>
    <s v="Member"/>
    <x v="1"/>
    <x v="1"/>
    <n v="7772"/>
    <n v="4"/>
    <n v="15544"/>
    <n v="326424"/>
    <x v="0"/>
    <x v="27"/>
    <d v="1899-12-30T16:11:00"/>
    <s v="Credit card"/>
    <n v="31088"/>
    <n v="4761904762"/>
    <n v="15544"/>
    <n v="88"/>
    <n v="31088"/>
  </r>
  <r>
    <s v="785-13-7708"/>
    <s v="Cairo"/>
    <x v="2"/>
    <s v="Normal"/>
    <x v="1"/>
    <x v="4"/>
    <n v="7306"/>
    <n v="7"/>
    <n v="25571"/>
    <n v="536991"/>
    <x v="0"/>
    <x v="78"/>
    <d v="1899-12-30T19:06:00"/>
    <s v="Credit card"/>
    <n v="51142"/>
    <n v="4761904762"/>
    <n v="25571"/>
    <n v="42"/>
    <n v="51142"/>
  </r>
  <r>
    <s v="845-51-0542"/>
    <s v="Cairo"/>
    <x v="2"/>
    <s v="Member"/>
    <x v="1"/>
    <x v="4"/>
    <n v="4655"/>
    <n v="9"/>
    <n v="209475"/>
    <n v="4398975"/>
    <x v="2"/>
    <x v="30"/>
    <d v="1899-12-30T15:34:00"/>
    <s v="Ewallet"/>
    <n v="41895"/>
    <n v="4761904762"/>
    <n v="209475"/>
    <n v="64"/>
    <n v="41895"/>
  </r>
  <r>
    <s v="662-47-5456"/>
    <s v="Giza"/>
    <x v="1"/>
    <s v="Member"/>
    <x v="1"/>
    <x v="5"/>
    <n v="3519"/>
    <n v="10"/>
    <n v="17595"/>
    <n v="369495"/>
    <x v="1"/>
    <x v="85"/>
    <d v="1899-12-30T19:06:00"/>
    <s v="Credit card"/>
    <n v="3519"/>
    <n v="4761904762"/>
    <n v="17595"/>
    <n v="84"/>
    <n v="35190"/>
  </r>
  <r>
    <s v="883-17-4236"/>
    <s v="Giza"/>
    <x v="1"/>
    <s v="Normal"/>
    <x v="0"/>
    <x v="3"/>
    <n v="1439"/>
    <n v="2"/>
    <n v="1439"/>
    <n v="30219"/>
    <x v="1"/>
    <x v="22"/>
    <d v="1899-12-30T19:44:00"/>
    <s v="Credit card"/>
    <n v="2878"/>
    <n v="4761904762"/>
    <n v="1439"/>
    <n v="72"/>
    <n v="2878"/>
  </r>
  <r>
    <s v="290-68-2984"/>
    <s v="Alex"/>
    <x v="0"/>
    <s v="Normal"/>
    <x v="1"/>
    <x v="2"/>
    <n v="2375"/>
    <n v="4"/>
    <n v="475"/>
    <n v="9975"/>
    <x v="1"/>
    <x v="32"/>
    <d v="1899-12-30T11:22:00"/>
    <s v="Cash"/>
    <n v="95"/>
    <n v="4761904762"/>
    <n v="475"/>
    <n v="52"/>
    <n v="9500"/>
  </r>
  <r>
    <s v="704-11-6354"/>
    <s v="Alex"/>
    <x v="0"/>
    <s v="Member"/>
    <x v="1"/>
    <x v="2"/>
    <n v="589"/>
    <n v="8"/>
    <n v="2356"/>
    <n v="49476"/>
    <x v="0"/>
    <x v="47"/>
    <d v="1899-12-30T11:23:00"/>
    <s v="Cash"/>
    <n v="4712"/>
    <n v="4761904762"/>
    <n v="2356"/>
    <n v="89"/>
    <n v="4712"/>
  </r>
  <r>
    <s v="110-48-7033"/>
    <s v="Cairo"/>
    <x v="2"/>
    <s v="Member"/>
    <x v="1"/>
    <x v="5"/>
    <n v="3262"/>
    <n v="4"/>
    <n v="6524"/>
    <n v="137004"/>
    <x v="0"/>
    <x v="71"/>
    <d v="1899-12-30T14:12:00"/>
    <s v="Cash"/>
    <n v="13048"/>
    <n v="4761904762"/>
    <n v="6524"/>
    <n v="9"/>
    <n v="13048"/>
  </r>
  <r>
    <s v="366-93-0948"/>
    <s v="Alex"/>
    <x v="0"/>
    <s v="Member"/>
    <x v="1"/>
    <x v="1"/>
    <n v="6635"/>
    <n v="1"/>
    <n v="33175"/>
    <n v="696675"/>
    <x v="0"/>
    <x v="82"/>
    <d v="1899-12-30T10:46:00"/>
    <s v="Credit card"/>
    <n v="6635"/>
    <n v="4761904762"/>
    <n v="33175"/>
    <n v="97"/>
    <n v="6635"/>
  </r>
  <r>
    <s v="729-09-9681"/>
    <s v="Alex"/>
    <x v="0"/>
    <s v="Member"/>
    <x v="1"/>
    <x v="2"/>
    <n v="2591"/>
    <n v="6"/>
    <n v="7773"/>
    <n v="163233"/>
    <x v="2"/>
    <x v="63"/>
    <d v="1899-12-30T10:16:00"/>
    <s v="Ewallet"/>
    <n v="15546"/>
    <n v="4761904762"/>
    <n v="7773"/>
    <n v="87"/>
    <n v="15546"/>
  </r>
  <r>
    <s v="151-16-1484"/>
    <s v="Alex"/>
    <x v="0"/>
    <s v="Member"/>
    <x v="1"/>
    <x v="1"/>
    <n v="3225"/>
    <n v="4"/>
    <n v="645"/>
    <n v="13545"/>
    <x v="2"/>
    <x v="77"/>
    <d v="1899-12-30T12:38:00"/>
    <s v="Ewallet"/>
    <n v="129"/>
    <n v="4761904762"/>
    <n v="645"/>
    <n v="65"/>
    <n v="12900"/>
  </r>
  <r>
    <s v="380-94-4661"/>
    <s v="Giza"/>
    <x v="1"/>
    <s v="Member"/>
    <x v="1"/>
    <x v="1"/>
    <n v="6594"/>
    <n v="4"/>
    <n v="13188"/>
    <n v="276948"/>
    <x v="2"/>
    <x v="13"/>
    <d v="1899-12-30T13:05:00"/>
    <s v="Credit card"/>
    <n v="26376"/>
    <n v="4761904762"/>
    <n v="13188"/>
    <n v="69"/>
    <n v="26376"/>
  </r>
  <r>
    <s v="850-41-9669"/>
    <s v="Alex"/>
    <x v="0"/>
    <s v="Normal"/>
    <x v="0"/>
    <x v="1"/>
    <n v="7506"/>
    <n v="9"/>
    <n v="33777"/>
    <n v="709317"/>
    <x v="1"/>
    <x v="35"/>
    <d v="1899-12-30T13:25:00"/>
    <s v="Ewallet"/>
    <n v="67554"/>
    <n v="4761904762"/>
    <n v="33777"/>
    <n v="62"/>
    <n v="67554"/>
  </r>
  <r>
    <s v="821-07-3596"/>
    <s v="Giza"/>
    <x v="1"/>
    <s v="Normal"/>
    <x v="0"/>
    <x v="5"/>
    <n v="1645"/>
    <n v="4"/>
    <n v="329"/>
    <n v="6909"/>
    <x v="1"/>
    <x v="37"/>
    <d v="1899-12-30T14:53:00"/>
    <s v="Ewallet"/>
    <n v="658"/>
    <n v="4761904762"/>
    <n v="329"/>
    <n v="56"/>
    <n v="6580"/>
  </r>
  <r>
    <s v="655-85-5130"/>
    <s v="Cairo"/>
    <x v="2"/>
    <s v="Member"/>
    <x v="0"/>
    <x v="5"/>
    <n v="383"/>
    <n v="4"/>
    <n v="766"/>
    <n v="16086"/>
    <x v="1"/>
    <x v="45"/>
    <d v="1899-12-30T19:22:00"/>
    <s v="Cash"/>
    <n v="1532"/>
    <n v="4761904762"/>
    <n v="766"/>
    <n v="57"/>
    <n v="1532"/>
  </r>
  <r>
    <s v="447-15-7839"/>
    <s v="Alex"/>
    <x v="0"/>
    <s v="Member"/>
    <x v="0"/>
    <x v="3"/>
    <n v="2224"/>
    <n v="10"/>
    <n v="1112"/>
    <n v="23352"/>
    <x v="2"/>
    <x v="57"/>
    <d v="1899-12-30T11:00:00"/>
    <s v="Cash"/>
    <n v="2224"/>
    <n v="4761904762"/>
    <n v="1112"/>
    <n v="42"/>
    <n v="22240"/>
  </r>
  <r>
    <s v="154-74-7179"/>
    <s v="Cairo"/>
    <x v="2"/>
    <s v="Normal"/>
    <x v="1"/>
    <x v="3"/>
    <n v="5445"/>
    <n v="1"/>
    <n v="27225"/>
    <n v="571725"/>
    <x v="2"/>
    <x v="84"/>
    <d v="1899-12-30T19:24:00"/>
    <s v="Ewallet"/>
    <n v="5445"/>
    <n v="4761904762"/>
    <n v="27225"/>
    <n v="79"/>
    <n v="5445"/>
  </r>
  <r>
    <s v="253-12-6086"/>
    <s v="Alex"/>
    <x v="0"/>
    <s v="Member"/>
    <x v="0"/>
    <x v="3"/>
    <n v="984"/>
    <n v="7"/>
    <n v="3444"/>
    <n v="72324"/>
    <x v="1"/>
    <x v="41"/>
    <d v="1899-12-30T12:43:00"/>
    <s v="Credit card"/>
    <n v="6888"/>
    <n v="4761904762"/>
    <n v="3444"/>
    <n v="87"/>
    <n v="6888"/>
  </r>
  <r>
    <s v="808-65-0703"/>
    <s v="Giza"/>
    <x v="1"/>
    <s v="Normal"/>
    <x v="1"/>
    <x v="2"/>
    <n v="3547"/>
    <n v="4"/>
    <n v="7094"/>
    <n v="148974"/>
    <x v="1"/>
    <x v="86"/>
    <d v="1899-12-30T17:22:00"/>
    <s v="Credit card"/>
    <n v="14188"/>
    <n v="4761904762"/>
    <n v="7094"/>
    <n v="69"/>
    <n v="14188"/>
  </r>
  <r>
    <s v="571-94-0759"/>
    <s v="Cairo"/>
    <x v="2"/>
    <s v="Member"/>
    <x v="0"/>
    <x v="4"/>
    <n v="746"/>
    <n v="10"/>
    <n v="373"/>
    <n v="7833"/>
    <x v="0"/>
    <x v="66"/>
    <d v="1899-12-30T20:55:00"/>
    <s v="Cash"/>
    <n v="746"/>
    <n v="4761904762"/>
    <n v="373"/>
    <n v="95"/>
    <n v="7460"/>
  </r>
  <r>
    <s v="144-51-6085"/>
    <s v="Alex"/>
    <x v="0"/>
    <s v="Member"/>
    <x v="1"/>
    <x v="2"/>
    <n v="7074"/>
    <n v="4"/>
    <n v="14148"/>
    <n v="297108"/>
    <x v="0"/>
    <x v="0"/>
    <d v="1899-12-30T16:05:00"/>
    <s v="Credit card"/>
    <n v="28296"/>
    <n v="4761904762"/>
    <n v="14148"/>
    <n v="44"/>
    <n v="28296"/>
  </r>
  <r>
    <s v="731-14-2199"/>
    <s v="Alex"/>
    <x v="0"/>
    <s v="Member"/>
    <x v="0"/>
    <x v="2"/>
    <n v="3554"/>
    <n v="10"/>
    <n v="1777"/>
    <n v="37317"/>
    <x v="0"/>
    <x v="72"/>
    <d v="1899-12-30T13:34:00"/>
    <s v="Ewallet"/>
    <n v="3554"/>
    <n v="4761904762"/>
    <n v="1777"/>
    <n v="7"/>
    <n v="35540"/>
  </r>
  <r>
    <s v="783-09-1637"/>
    <s v="Cairo"/>
    <x v="2"/>
    <s v="Normal"/>
    <x v="0"/>
    <x v="3"/>
    <n v="6743"/>
    <n v="5"/>
    <n v="168575"/>
    <n v="3540075"/>
    <x v="1"/>
    <x v="43"/>
    <d v="1899-12-30T18:13:00"/>
    <s v="Ewallet"/>
    <n v="33715"/>
    <n v="4761904762"/>
    <n v="168575"/>
    <n v="63"/>
    <n v="33715"/>
  </r>
  <r>
    <s v="687-15-1097"/>
    <s v="Giza"/>
    <x v="1"/>
    <s v="Member"/>
    <x v="0"/>
    <x v="0"/>
    <n v="2112"/>
    <n v="2"/>
    <n v="2112"/>
    <n v="44352"/>
    <x v="0"/>
    <x v="75"/>
    <d v="1899-12-30T19:17:00"/>
    <s v="Cash"/>
    <n v="4224"/>
    <n v="4761904762"/>
    <n v="2112"/>
    <n v="97"/>
    <n v="4224"/>
  </r>
  <r>
    <s v="126-54-1082"/>
    <s v="Alex"/>
    <x v="0"/>
    <s v="Member"/>
    <x v="0"/>
    <x v="2"/>
    <n v="2154"/>
    <n v="9"/>
    <n v="9693"/>
    <n v="203553"/>
    <x v="0"/>
    <x v="27"/>
    <d v="1899-12-30T11:44:00"/>
    <s v="Credit card"/>
    <n v="19386"/>
    <n v="4761904762"/>
    <n v="9693"/>
    <n v="88"/>
    <n v="19386"/>
  </r>
  <r>
    <s v="633-91-1052"/>
    <s v="Alex"/>
    <x v="0"/>
    <s v="Normal"/>
    <x v="0"/>
    <x v="2"/>
    <n v="1203"/>
    <n v="2"/>
    <n v="1203"/>
    <n v="25263"/>
    <x v="0"/>
    <x v="3"/>
    <d v="1899-12-30T15:51:00"/>
    <s v="Cash"/>
    <n v="2406"/>
    <n v="4761904762"/>
    <n v="1203"/>
    <n v="51"/>
    <n v="2406"/>
  </r>
  <r>
    <s v="477-24-6490"/>
    <s v="Cairo"/>
    <x v="2"/>
    <s v="Normal"/>
    <x v="0"/>
    <x v="0"/>
    <n v="9971"/>
    <n v="6"/>
    <n v="29913"/>
    <n v="628173"/>
    <x v="2"/>
    <x v="84"/>
    <d v="1899-12-30T16:52:00"/>
    <s v="Ewallet"/>
    <n v="59826"/>
    <n v="4761904762"/>
    <n v="29913"/>
    <n v="79"/>
    <n v="59826"/>
  </r>
  <r>
    <s v="566-19-5475"/>
    <s v="Cairo"/>
    <x v="2"/>
    <s v="Normal"/>
    <x v="1"/>
    <x v="5"/>
    <n v="4797"/>
    <n v="7"/>
    <n v="167895"/>
    <n v="3525795"/>
    <x v="0"/>
    <x v="27"/>
    <d v="1899-12-30T20:52:00"/>
    <s v="Cash"/>
    <n v="33579"/>
    <n v="4761904762"/>
    <n v="167895"/>
    <n v="62"/>
    <n v="33579"/>
  </r>
  <r>
    <s v="526-86-8552"/>
    <s v="Giza"/>
    <x v="1"/>
    <s v="Member"/>
    <x v="0"/>
    <x v="2"/>
    <n v="2182"/>
    <n v="10"/>
    <n v="1091"/>
    <n v="22911"/>
    <x v="0"/>
    <x v="27"/>
    <d v="1899-12-30T17:36:00"/>
    <s v="Cash"/>
    <n v="2182"/>
    <n v="4761904762"/>
    <n v="1091"/>
    <n v="71"/>
    <n v="21820"/>
  </r>
  <r>
    <s v="376-56-3573"/>
    <s v="Giza"/>
    <x v="1"/>
    <s v="Normal"/>
    <x v="0"/>
    <x v="5"/>
    <n v="9542"/>
    <n v="4"/>
    <n v="19084"/>
    <n v="400764"/>
    <x v="2"/>
    <x v="30"/>
    <d v="1899-12-30T13:23:00"/>
    <s v="Ewallet"/>
    <n v="38168"/>
    <n v="4761904762"/>
    <n v="19084"/>
    <n v="64"/>
    <n v="38168"/>
  </r>
  <r>
    <s v="537-72-0426"/>
    <s v="Giza"/>
    <x v="1"/>
    <s v="Member"/>
    <x v="1"/>
    <x v="5"/>
    <n v="7099"/>
    <n v="10"/>
    <n v="35495"/>
    <n v="745395"/>
    <x v="1"/>
    <x v="80"/>
    <d v="1899-12-30T16:28:00"/>
    <s v="Cash"/>
    <n v="7099"/>
    <n v="4761904762"/>
    <n v="35495"/>
    <n v="57"/>
    <n v="70990"/>
  </r>
  <r>
    <s v="828-61-5674"/>
    <s v="Alex"/>
    <x v="0"/>
    <s v="Member"/>
    <x v="1"/>
    <x v="3"/>
    <n v="4402"/>
    <n v="10"/>
    <n v="2201"/>
    <n v="46221"/>
    <x v="1"/>
    <x v="80"/>
    <d v="1899-12-30T19:57:00"/>
    <s v="Credit card"/>
    <n v="4402"/>
    <n v="4761904762"/>
    <n v="2201"/>
    <n v="96"/>
    <n v="44020"/>
  </r>
  <r>
    <s v="136-08-6195"/>
    <s v="Alex"/>
    <x v="0"/>
    <s v="Normal"/>
    <x v="0"/>
    <x v="2"/>
    <n v="6996"/>
    <n v="8"/>
    <n v="27984"/>
    <n v="587664"/>
    <x v="2"/>
    <x v="42"/>
    <d v="1899-12-30T17:01:00"/>
    <s v="Credit card"/>
    <n v="55968"/>
    <n v="4761904762"/>
    <n v="27984"/>
    <n v="64"/>
    <n v="55968"/>
  </r>
  <r>
    <s v="523-38-0215"/>
    <s v="Giza"/>
    <x v="1"/>
    <s v="Normal"/>
    <x v="1"/>
    <x v="2"/>
    <n v="37"/>
    <n v="1"/>
    <n v="185"/>
    <n v="3885"/>
    <x v="1"/>
    <x v="43"/>
    <d v="1899-12-30T13:29:00"/>
    <s v="Credit card"/>
    <n v="37"/>
    <n v="4761904762"/>
    <n v="185"/>
    <n v="79"/>
    <n v="37"/>
  </r>
  <r>
    <s v="490-29-1201"/>
    <s v="Alex"/>
    <x v="0"/>
    <s v="Normal"/>
    <x v="0"/>
    <x v="3"/>
    <n v="1534"/>
    <n v="1"/>
    <n v="767"/>
    <n v="16107"/>
    <x v="0"/>
    <x v="47"/>
    <d v="1899-12-30T11:09:00"/>
    <s v="Cash"/>
    <n v="1534"/>
    <n v="4761904762"/>
    <n v="767"/>
    <n v="65"/>
    <n v="1534"/>
  </r>
  <r>
    <s v="667-92-0055"/>
    <s v="Alex"/>
    <x v="0"/>
    <s v="Member"/>
    <x v="1"/>
    <x v="0"/>
    <n v="9983"/>
    <n v="6"/>
    <n v="29949"/>
    <n v="628929"/>
    <x v="1"/>
    <x v="31"/>
    <d v="1899-12-30T15:02:00"/>
    <s v="Ewallet"/>
    <n v="59898"/>
    <n v="4761904762"/>
    <n v="29949"/>
    <n v="85"/>
    <n v="59898"/>
  </r>
  <r>
    <s v="565-17-3836"/>
    <s v="Alex"/>
    <x v="0"/>
    <s v="Member"/>
    <x v="0"/>
    <x v="0"/>
    <n v="4767"/>
    <n v="4"/>
    <n v="9534"/>
    <n v="200214"/>
    <x v="1"/>
    <x v="41"/>
    <d v="1899-12-30T14:21:00"/>
    <s v="Cash"/>
    <n v="19068"/>
    <n v="4761904762"/>
    <n v="9534"/>
    <n v="91"/>
    <n v="19068"/>
  </r>
  <r>
    <s v="498-41-1961"/>
    <s v="Cairo"/>
    <x v="2"/>
    <s v="Normal"/>
    <x v="1"/>
    <x v="0"/>
    <n v="6668"/>
    <n v="5"/>
    <n v="1667"/>
    <n v="35007"/>
    <x v="2"/>
    <x v="9"/>
    <d v="1899-12-30T18:01:00"/>
    <s v="Cash"/>
    <n v="3334"/>
    <n v="4761904762"/>
    <n v="1667"/>
    <n v="76"/>
    <n v="33340"/>
  </r>
  <r>
    <s v="593-95-4461"/>
    <s v="Giza"/>
    <x v="1"/>
    <s v="Member"/>
    <x v="1"/>
    <x v="2"/>
    <n v="7486"/>
    <n v="1"/>
    <n v="3743"/>
    <n v="78603"/>
    <x v="1"/>
    <x v="62"/>
    <d v="1899-12-30T14:49:00"/>
    <s v="Cash"/>
    <n v="7486"/>
    <n v="4761904762"/>
    <n v="3743"/>
    <n v="69"/>
    <n v="7486"/>
  </r>
  <r>
    <s v="226-71-3580"/>
    <s v="Giza"/>
    <x v="1"/>
    <s v="Normal"/>
    <x v="0"/>
    <x v="3"/>
    <n v="2375"/>
    <n v="9"/>
    <n v="106875"/>
    <n v="2244375"/>
    <x v="0"/>
    <x v="82"/>
    <d v="1899-12-30T12:02:00"/>
    <s v="Cash"/>
    <n v="21375"/>
    <n v="4761904762"/>
    <n v="106875"/>
    <n v="95"/>
    <n v="21375"/>
  </r>
  <r>
    <s v="283-79-9594"/>
    <s v="Cairo"/>
    <x v="2"/>
    <s v="Normal"/>
    <x v="0"/>
    <x v="4"/>
    <n v="4851"/>
    <n v="7"/>
    <n v="169785"/>
    <n v="3565485"/>
    <x v="0"/>
    <x v="25"/>
    <d v="1899-12-30T13:30:00"/>
    <s v="Credit card"/>
    <n v="33957"/>
    <n v="4761904762"/>
    <n v="169785"/>
    <n v="52"/>
    <n v="33957"/>
  </r>
  <r>
    <s v="430-60-3493"/>
    <s v="Alex"/>
    <x v="0"/>
    <s v="Member"/>
    <x v="0"/>
    <x v="2"/>
    <n v="9488"/>
    <n v="7"/>
    <n v="33208"/>
    <n v="697368"/>
    <x v="2"/>
    <x v="36"/>
    <d v="1899-12-30T14:38:00"/>
    <s v="Cash"/>
    <n v="66416"/>
    <n v="4761904762"/>
    <n v="33208"/>
    <n v="42"/>
    <n v="66416"/>
  </r>
  <r>
    <s v="139-20-0155"/>
    <s v="Cairo"/>
    <x v="2"/>
    <s v="Member"/>
    <x v="1"/>
    <x v="1"/>
    <n v="403"/>
    <n v="10"/>
    <n v="2015"/>
    <n v="42315"/>
    <x v="0"/>
    <x v="46"/>
    <d v="1899-12-30T17:37:00"/>
    <s v="Credit card"/>
    <n v="403"/>
    <n v="4761904762"/>
    <n v="2015"/>
    <n v="7"/>
    <n v="4030"/>
  </r>
  <r>
    <s v="558-80-4082"/>
    <s v="Giza"/>
    <x v="1"/>
    <s v="Normal"/>
    <x v="1"/>
    <x v="1"/>
    <n v="2785"/>
    <n v="7"/>
    <n v="97475"/>
    <n v="2046975"/>
    <x v="1"/>
    <x v="86"/>
    <d v="1899-12-30T17:20:00"/>
    <s v="Ewallet"/>
    <n v="19495"/>
    <n v="4761904762"/>
    <n v="97475"/>
    <n v="6"/>
    <n v="19495"/>
  </r>
  <r>
    <s v="278-97-7759"/>
    <s v="Alex"/>
    <x v="0"/>
    <s v="Member"/>
    <x v="0"/>
    <x v="1"/>
    <n v="6248"/>
    <n v="1"/>
    <n v="3124"/>
    <n v="65604"/>
    <x v="2"/>
    <x v="67"/>
    <d v="1899-12-30T20:29:00"/>
    <s v="Cash"/>
    <n v="6248"/>
    <n v="4761904762"/>
    <n v="3124"/>
    <n v="47"/>
    <n v="6248"/>
  </r>
  <r>
    <s v="316-68-6352"/>
    <s v="Alex"/>
    <x v="0"/>
    <s v="Member"/>
    <x v="0"/>
    <x v="4"/>
    <n v="3636"/>
    <n v="2"/>
    <n v="3636"/>
    <n v="76356"/>
    <x v="0"/>
    <x v="18"/>
    <d v="1899-12-30T10:00:00"/>
    <s v="Cash"/>
    <n v="7272"/>
    <n v="4761904762"/>
    <n v="3636"/>
    <n v="71"/>
    <n v="7272"/>
  </r>
  <r>
    <s v="585-03-5943"/>
    <s v="Cairo"/>
    <x v="2"/>
    <s v="Normal"/>
    <x v="1"/>
    <x v="0"/>
    <n v="1811"/>
    <n v="10"/>
    <n v="9055"/>
    <n v="190155"/>
    <x v="1"/>
    <x v="45"/>
    <d v="1899-12-30T11:46:00"/>
    <s v="Ewallet"/>
    <n v="1811"/>
    <n v="4761904762"/>
    <n v="9055"/>
    <n v="59"/>
    <n v="18110"/>
  </r>
  <r>
    <s v="211-05-0490"/>
    <s v="Giza"/>
    <x v="1"/>
    <s v="Member"/>
    <x v="0"/>
    <x v="1"/>
    <n v="5192"/>
    <n v="5"/>
    <n v="1298"/>
    <n v="27258"/>
    <x v="1"/>
    <x v="2"/>
    <d v="1899-12-30T13:42:00"/>
    <s v="Cash"/>
    <n v="2596"/>
    <n v="4761904762"/>
    <n v="1298"/>
    <n v="75"/>
    <n v="25960"/>
  </r>
  <r>
    <s v="727-75-6477"/>
    <s v="Giza"/>
    <x v="1"/>
    <s v="Normal"/>
    <x v="1"/>
    <x v="1"/>
    <n v="2884"/>
    <n v="4"/>
    <n v="5768"/>
    <n v="121128"/>
    <x v="1"/>
    <x v="14"/>
    <d v="1899-12-30T14:44:00"/>
    <s v="Cash"/>
    <n v="11536"/>
    <n v="4761904762"/>
    <n v="5768"/>
    <n v="64"/>
    <n v="11536"/>
  </r>
  <r>
    <s v="744-02-5987"/>
    <s v="Alex"/>
    <x v="0"/>
    <s v="Member"/>
    <x v="1"/>
    <x v="2"/>
    <n v="7838"/>
    <n v="6"/>
    <n v="23514"/>
    <n v="493794"/>
    <x v="0"/>
    <x v="8"/>
    <d v="1899-12-30T14:16:00"/>
    <s v="Ewallet"/>
    <n v="47028"/>
    <n v="4761904762"/>
    <n v="23514"/>
    <n v="58"/>
    <n v="47028"/>
  </r>
  <r>
    <s v="307-83-9164"/>
    <s v="Alex"/>
    <x v="0"/>
    <s v="Member"/>
    <x v="1"/>
    <x v="2"/>
    <n v="6001"/>
    <n v="4"/>
    <n v="12002"/>
    <n v="252042"/>
    <x v="0"/>
    <x v="25"/>
    <d v="1899-12-30T15:54:00"/>
    <s v="Cash"/>
    <n v="24004"/>
    <n v="4761904762"/>
    <n v="12002"/>
    <n v="45"/>
    <n v="24004"/>
  </r>
  <r>
    <s v="779-06-0012"/>
    <s v="Giza"/>
    <x v="1"/>
    <s v="Member"/>
    <x v="0"/>
    <x v="2"/>
    <n v="8861"/>
    <n v="1"/>
    <n v="44305"/>
    <n v="930405"/>
    <x v="0"/>
    <x v="64"/>
    <d v="1899-12-30T10:21:00"/>
    <s v="Cash"/>
    <n v="8861"/>
    <n v="4761904762"/>
    <n v="44305"/>
    <n v="77"/>
    <n v="8861"/>
  </r>
  <r>
    <s v="446-47-6729"/>
    <s v="Giza"/>
    <x v="1"/>
    <s v="Normal"/>
    <x v="1"/>
    <x v="5"/>
    <n v="9982"/>
    <n v="2"/>
    <n v="9982"/>
    <n v="209622"/>
    <x v="0"/>
    <x v="56"/>
    <d v="1899-12-30T18:09:00"/>
    <s v="Credit card"/>
    <n v="19964"/>
    <n v="4761904762"/>
    <n v="9982"/>
    <n v="67"/>
    <n v="19964"/>
  </r>
  <r>
    <s v="573-10-3877"/>
    <s v="Cairo"/>
    <x v="2"/>
    <s v="Member"/>
    <x v="1"/>
    <x v="0"/>
    <n v="3901"/>
    <n v="1"/>
    <n v="19505"/>
    <n v="409605"/>
    <x v="1"/>
    <x v="41"/>
    <d v="1899-12-30T16:46:00"/>
    <s v="Credit card"/>
    <n v="3901"/>
    <n v="4761904762"/>
    <n v="19505"/>
    <n v="47"/>
    <n v="3901"/>
  </r>
  <r>
    <s v="735-06-4124"/>
    <s v="Giza"/>
    <x v="1"/>
    <s v="Normal"/>
    <x v="1"/>
    <x v="4"/>
    <n v="4861"/>
    <n v="1"/>
    <n v="24305"/>
    <n v="510405"/>
    <x v="2"/>
    <x v="6"/>
    <d v="1899-12-30T15:31:00"/>
    <s v="Cash"/>
    <n v="4861"/>
    <n v="4761904762"/>
    <n v="24305"/>
    <n v="44"/>
    <n v="4861"/>
  </r>
  <r>
    <s v="439-54-7422"/>
    <s v="Alex"/>
    <x v="0"/>
    <s v="Normal"/>
    <x v="0"/>
    <x v="1"/>
    <n v="5119"/>
    <n v="4"/>
    <n v="10238"/>
    <n v="214998"/>
    <x v="1"/>
    <x v="79"/>
    <d v="1899-12-30T17:15:00"/>
    <s v="Credit card"/>
    <n v="20476"/>
    <n v="4761904762"/>
    <n v="10238"/>
    <n v="47"/>
    <n v="20476"/>
  </r>
  <r>
    <s v="396-90-2219"/>
    <s v="Cairo"/>
    <x v="2"/>
    <s v="Normal"/>
    <x v="0"/>
    <x v="1"/>
    <n v="1496"/>
    <n v="8"/>
    <n v="5984"/>
    <n v="125664"/>
    <x v="2"/>
    <x v="55"/>
    <d v="1899-12-30T12:29:00"/>
    <s v="Cash"/>
    <n v="11968"/>
    <n v="4761904762"/>
    <n v="5984"/>
    <n v="86"/>
    <n v="11968"/>
  </r>
  <r>
    <s v="411-77-0180"/>
    <s v="Alex"/>
    <x v="0"/>
    <s v="Member"/>
    <x v="1"/>
    <x v="1"/>
    <n v="722"/>
    <n v="7"/>
    <n v="2527"/>
    <n v="53067"/>
    <x v="1"/>
    <x v="58"/>
    <d v="1899-12-30T20:14:00"/>
    <s v="Ewallet"/>
    <n v="5054"/>
    <n v="4761904762"/>
    <n v="2527"/>
    <n v="43"/>
    <n v="5054"/>
  </r>
  <r>
    <s v="286-01-5402"/>
    <s v="Alex"/>
    <x v="0"/>
    <s v="Normal"/>
    <x v="0"/>
    <x v="3"/>
    <n v="4023"/>
    <n v="7"/>
    <n v="140805"/>
    <n v="2956905"/>
    <x v="1"/>
    <x v="73"/>
    <d v="1899-12-30T13:22:00"/>
    <s v="Cash"/>
    <n v="28161"/>
    <n v="4761904762"/>
    <n v="140805"/>
    <n v="96"/>
    <n v="28161"/>
  </r>
  <r>
    <s v="803-17-8013"/>
    <s v="Alex"/>
    <x v="0"/>
    <s v="Member"/>
    <x v="0"/>
    <x v="2"/>
    <n v="8879"/>
    <n v="8"/>
    <n v="35516"/>
    <n v="745836"/>
    <x v="2"/>
    <x v="21"/>
    <d v="1899-12-30T17:09:00"/>
    <s v="Cash"/>
    <n v="71032"/>
    <n v="4761904762"/>
    <n v="35516"/>
    <n v="41"/>
    <n v="71032"/>
  </r>
  <r>
    <s v="512-98-1403"/>
    <s v="Alex"/>
    <x v="0"/>
    <s v="Member"/>
    <x v="0"/>
    <x v="1"/>
    <n v="2648"/>
    <n v="3"/>
    <n v="3972"/>
    <n v="83412"/>
    <x v="1"/>
    <x v="76"/>
    <d v="1899-12-30T10:40:00"/>
    <s v="Ewallet"/>
    <n v="7944"/>
    <n v="4761904762"/>
    <n v="3972"/>
    <n v="47"/>
    <n v="7944"/>
  </r>
  <r>
    <s v="848-42-2560"/>
    <s v="Alex"/>
    <x v="0"/>
    <s v="Normal"/>
    <x v="0"/>
    <x v="5"/>
    <n v="8191"/>
    <n v="2"/>
    <n v="8191"/>
    <n v="172011"/>
    <x v="1"/>
    <x v="19"/>
    <d v="1899-12-30T17:43:00"/>
    <s v="Cash"/>
    <n v="16382"/>
    <n v="4761904762"/>
    <n v="8191"/>
    <n v="78"/>
    <n v="16382"/>
  </r>
  <r>
    <s v="532-59-7201"/>
    <s v="Cairo"/>
    <x v="2"/>
    <s v="Member"/>
    <x v="1"/>
    <x v="3"/>
    <n v="7993"/>
    <n v="6"/>
    <n v="23979"/>
    <n v="503559"/>
    <x v="0"/>
    <x v="82"/>
    <d v="1899-12-30T14:04:00"/>
    <s v="Cash"/>
    <n v="47958"/>
    <n v="4761904762"/>
    <n v="23979"/>
    <n v="55"/>
    <n v="47958"/>
  </r>
  <r>
    <s v="181-94-6432"/>
    <s v="Giza"/>
    <x v="1"/>
    <s v="Member"/>
    <x v="1"/>
    <x v="5"/>
    <n v="6933"/>
    <n v="2"/>
    <n v="6933"/>
    <n v="145593"/>
    <x v="2"/>
    <x v="63"/>
    <d v="1899-12-30T19:05:00"/>
    <s v="Ewallet"/>
    <n v="13866"/>
    <n v="4761904762"/>
    <n v="6933"/>
    <n v="97"/>
    <n v="13866"/>
  </r>
  <r>
    <s v="870-76-1733"/>
    <s v="Alex"/>
    <x v="0"/>
    <s v="Member"/>
    <x v="0"/>
    <x v="4"/>
    <n v="1423"/>
    <n v="5"/>
    <n v="35575"/>
    <n v="747075"/>
    <x v="2"/>
    <x v="60"/>
    <d v="1899-12-30T10:08:00"/>
    <s v="Credit card"/>
    <n v="7115"/>
    <n v="4761904762"/>
    <n v="35575"/>
    <n v="44"/>
    <n v="7115"/>
  </r>
  <r>
    <s v="423-64-4619"/>
    <s v="Alex"/>
    <x v="0"/>
    <s v="Member"/>
    <x v="0"/>
    <x v="0"/>
    <n v="1555"/>
    <n v="9"/>
    <n v="69975"/>
    <n v="1469475"/>
    <x v="1"/>
    <x v="37"/>
    <d v="1899-12-30T13:12:00"/>
    <s v="Cash"/>
    <n v="13995"/>
    <n v="4761904762"/>
    <n v="69975"/>
    <n v="5"/>
    <n v="13995"/>
  </r>
  <r>
    <s v="227-07-4446"/>
    <s v="Giza"/>
    <x v="1"/>
    <s v="Member"/>
    <x v="0"/>
    <x v="1"/>
    <n v="7813"/>
    <n v="10"/>
    <n v="39065"/>
    <n v="820365"/>
    <x v="2"/>
    <x v="34"/>
    <d v="1899-12-30T20:51:00"/>
    <s v="Cash"/>
    <n v="7813"/>
    <n v="4761904762"/>
    <n v="39065"/>
    <n v="44"/>
    <n v="78130"/>
  </r>
  <r>
    <s v="174-36-3675"/>
    <s v="Giza"/>
    <x v="1"/>
    <s v="Member"/>
    <x v="1"/>
    <x v="4"/>
    <n v="9937"/>
    <n v="2"/>
    <n v="9937"/>
    <n v="208677"/>
    <x v="2"/>
    <x v="44"/>
    <d v="1899-12-30T17:29:00"/>
    <s v="Cash"/>
    <n v="19874"/>
    <n v="4761904762"/>
    <n v="9937"/>
    <n v="52"/>
    <n v="19874"/>
  </r>
  <r>
    <s v="428-83-5800"/>
    <s v="Giza"/>
    <x v="1"/>
    <s v="Member"/>
    <x v="0"/>
    <x v="4"/>
    <n v="2108"/>
    <n v="3"/>
    <n v="3162"/>
    <n v="66402"/>
    <x v="2"/>
    <x v="57"/>
    <d v="1899-12-30T10:25:00"/>
    <s v="Cash"/>
    <n v="6324"/>
    <n v="4761904762"/>
    <n v="3162"/>
    <n v="73"/>
    <n v="6324"/>
  </r>
  <r>
    <s v="603-07-0961"/>
    <s v="Giza"/>
    <x v="1"/>
    <s v="Member"/>
    <x v="1"/>
    <x v="1"/>
    <n v="7479"/>
    <n v="5"/>
    <n v="186975"/>
    <n v="3926475"/>
    <x v="0"/>
    <x v="8"/>
    <d v="1899-12-30T11:34:00"/>
    <s v="Cash"/>
    <n v="37395"/>
    <n v="4761904762"/>
    <n v="186975"/>
    <n v="49"/>
    <n v="37395"/>
  </r>
  <r>
    <s v="704-20-4138"/>
    <s v="Giza"/>
    <x v="1"/>
    <s v="Member"/>
    <x v="0"/>
    <x v="0"/>
    <n v="2967"/>
    <n v="7"/>
    <n v="103845"/>
    <n v="2180745"/>
    <x v="1"/>
    <x v="16"/>
    <d v="1899-12-30T18:58:00"/>
    <s v="Credit card"/>
    <n v="20769"/>
    <n v="4761904762"/>
    <n v="103845"/>
    <n v="81"/>
    <n v="20769"/>
  </r>
  <r>
    <s v="787-15-1757"/>
    <s v="Giza"/>
    <x v="1"/>
    <s v="Member"/>
    <x v="1"/>
    <x v="0"/>
    <n v="4407"/>
    <n v="4"/>
    <n v="8814"/>
    <n v="185094"/>
    <x v="2"/>
    <x v="67"/>
    <d v="1899-12-30T16:28:00"/>
    <s v="Ewallet"/>
    <n v="17628"/>
    <n v="4761904762"/>
    <n v="8814"/>
    <n v="84"/>
    <n v="17628"/>
  </r>
  <r>
    <s v="649-11-3678"/>
    <s v="Giza"/>
    <x v="1"/>
    <s v="Normal"/>
    <x v="0"/>
    <x v="4"/>
    <n v="2293"/>
    <n v="9"/>
    <n v="103185"/>
    <n v="2166885"/>
    <x v="2"/>
    <x v="84"/>
    <d v="1899-12-30T20:26:00"/>
    <s v="Cash"/>
    <n v="20637"/>
    <n v="4761904762"/>
    <n v="103185"/>
    <n v="55"/>
    <n v="20637"/>
  </r>
  <r>
    <s v="622-20-1945"/>
    <s v="Giza"/>
    <x v="1"/>
    <s v="Normal"/>
    <x v="0"/>
    <x v="0"/>
    <n v="3942"/>
    <n v="1"/>
    <n v="1971"/>
    <n v="41391"/>
    <x v="0"/>
    <x v="68"/>
    <d v="1899-12-30T15:08:00"/>
    <s v="Cash"/>
    <n v="3942"/>
    <n v="4761904762"/>
    <n v="1971"/>
    <n v="84"/>
    <n v="3942"/>
  </r>
  <r>
    <s v="372-94-8041"/>
    <s v="Alex"/>
    <x v="0"/>
    <s v="Normal"/>
    <x v="1"/>
    <x v="0"/>
    <n v="1526"/>
    <n v="6"/>
    <n v="4578"/>
    <n v="96138"/>
    <x v="2"/>
    <x v="42"/>
    <d v="1899-12-30T18:03:00"/>
    <s v="Ewallet"/>
    <n v="9156"/>
    <n v="4761904762"/>
    <n v="4578"/>
    <n v="98"/>
    <n v="9156"/>
  </r>
  <r>
    <s v="563-91-7120"/>
    <s v="Alex"/>
    <x v="0"/>
    <s v="Normal"/>
    <x v="0"/>
    <x v="5"/>
    <n v="6177"/>
    <n v="5"/>
    <n v="154425"/>
    <n v="3242925"/>
    <x v="1"/>
    <x v="1"/>
    <d v="1899-12-30T13:21:00"/>
    <s v="Cash"/>
    <n v="30885"/>
    <n v="4761904762"/>
    <n v="154425"/>
    <n v="67"/>
    <n v="30885"/>
  </r>
  <r>
    <s v="746-54-5508"/>
    <s v="Alex"/>
    <x v="0"/>
    <s v="Normal"/>
    <x v="1"/>
    <x v="2"/>
    <n v="2152"/>
    <n v="6"/>
    <n v="6456"/>
    <n v="135576"/>
    <x v="0"/>
    <x v="29"/>
    <d v="1899-12-30T12:48:00"/>
    <s v="Credit card"/>
    <n v="12912"/>
    <n v="4761904762"/>
    <n v="6456"/>
    <n v="94"/>
    <n v="12912"/>
  </r>
  <r>
    <s v="276-54-0879"/>
    <s v="Cairo"/>
    <x v="2"/>
    <s v="Normal"/>
    <x v="1"/>
    <x v="3"/>
    <n v="9774"/>
    <n v="4"/>
    <n v="19548"/>
    <n v="410508"/>
    <x v="1"/>
    <x v="41"/>
    <d v="1899-12-30T19:53:00"/>
    <s v="Ewallet"/>
    <n v="39096"/>
    <n v="4761904762"/>
    <n v="19548"/>
    <n v="64"/>
    <n v="39096"/>
  </r>
  <r>
    <s v="815-11-1168"/>
    <s v="Alex"/>
    <x v="0"/>
    <s v="Member"/>
    <x v="1"/>
    <x v="4"/>
    <n v="9978"/>
    <n v="5"/>
    <n v="24945"/>
    <n v="523845"/>
    <x v="1"/>
    <x v="11"/>
    <d v="1899-12-30T19:09:00"/>
    <s v="Cash"/>
    <n v="4989"/>
    <n v="4761904762"/>
    <n v="24945"/>
    <n v="54"/>
    <n v="49890"/>
  </r>
  <r>
    <s v="719-76-3868"/>
    <s v="Giza"/>
    <x v="1"/>
    <s v="Member"/>
    <x v="1"/>
    <x v="4"/>
    <n v="9426"/>
    <n v="4"/>
    <n v="18852"/>
    <n v="395892"/>
    <x v="1"/>
    <x v="41"/>
    <d v="1899-12-30T16:30:00"/>
    <s v="Cash"/>
    <n v="37704"/>
    <n v="4761904762"/>
    <n v="18852"/>
    <n v="86"/>
    <n v="37704"/>
  </r>
  <r>
    <s v="730-61-8757"/>
    <s v="Cairo"/>
    <x v="2"/>
    <s v="Member"/>
    <x v="1"/>
    <x v="0"/>
    <n v="5113"/>
    <n v="4"/>
    <n v="10226"/>
    <n v="214746"/>
    <x v="0"/>
    <x v="25"/>
    <d v="1899-12-30T10:11:00"/>
    <s v="Credit card"/>
    <n v="20452"/>
    <n v="4761904762"/>
    <n v="10226"/>
    <n v="4"/>
    <n v="20452"/>
  </r>
  <r>
    <s v="340-66-0321"/>
    <s v="Alex"/>
    <x v="0"/>
    <s v="Member"/>
    <x v="1"/>
    <x v="1"/>
    <n v="3636"/>
    <n v="4"/>
    <n v="7272"/>
    <n v="152712"/>
    <x v="1"/>
    <x v="5"/>
    <d v="1899-12-30T13:07:00"/>
    <s v="Cash"/>
    <n v="14544"/>
    <n v="4761904762"/>
    <n v="7272"/>
    <n v="76"/>
    <n v="14544"/>
  </r>
  <r>
    <s v="868-81-1752"/>
    <s v="Cairo"/>
    <x v="2"/>
    <s v="Normal"/>
    <x v="1"/>
    <x v="2"/>
    <n v="2202"/>
    <n v="9"/>
    <n v="9909"/>
    <n v="208089"/>
    <x v="2"/>
    <x v="13"/>
    <d v="1899-12-30T18:48:00"/>
    <s v="Cash"/>
    <n v="19818"/>
    <n v="4761904762"/>
    <n v="9909"/>
    <n v="68"/>
    <n v="19818"/>
  </r>
  <r>
    <s v="634-97-8956"/>
    <s v="Alex"/>
    <x v="0"/>
    <s v="Normal"/>
    <x v="1"/>
    <x v="4"/>
    <n v="329"/>
    <n v="3"/>
    <n v="4935"/>
    <n v="103635"/>
    <x v="2"/>
    <x v="21"/>
    <d v="1899-12-30T17:27:00"/>
    <s v="Credit card"/>
    <n v="987"/>
    <n v="4761904762"/>
    <n v="4935"/>
    <n v="91"/>
    <n v="987"/>
  </r>
  <r>
    <s v="566-71-1091"/>
    <s v="Alex"/>
    <x v="0"/>
    <s v="Normal"/>
    <x v="1"/>
    <x v="5"/>
    <n v="7702"/>
    <n v="5"/>
    <n v="19255"/>
    <n v="404355"/>
    <x v="2"/>
    <x v="36"/>
    <d v="1899-12-30T15:59:00"/>
    <s v="Cash"/>
    <n v="3851"/>
    <n v="4761904762"/>
    <n v="19255"/>
    <n v="55"/>
    <n v="38510"/>
  </r>
  <r>
    <s v="442-48-3607"/>
    <s v="Alex"/>
    <x v="0"/>
    <s v="Member"/>
    <x v="1"/>
    <x v="4"/>
    <n v="2348"/>
    <n v="2"/>
    <n v="2348"/>
    <n v="49308"/>
    <x v="1"/>
    <x v="86"/>
    <d v="1899-12-30T11:21:00"/>
    <s v="Credit card"/>
    <n v="4696"/>
    <n v="4761904762"/>
    <n v="2348"/>
    <n v="79"/>
    <n v="4696"/>
  </r>
  <r>
    <s v="835-16-0096"/>
    <s v="Giza"/>
    <x v="1"/>
    <s v="Member"/>
    <x v="1"/>
    <x v="3"/>
    <n v="147"/>
    <n v="5"/>
    <n v="3675"/>
    <n v="77175"/>
    <x v="1"/>
    <x v="62"/>
    <d v="1899-12-30T13:48:00"/>
    <s v="Ewallet"/>
    <n v="735"/>
    <n v="4761904762"/>
    <n v="3675"/>
    <n v="85"/>
    <n v="735"/>
  </r>
  <r>
    <s v="527-09-6272"/>
    <s v="Alex"/>
    <x v="0"/>
    <s v="Member"/>
    <x v="0"/>
    <x v="1"/>
    <n v="2845"/>
    <n v="5"/>
    <n v="71125"/>
    <n v="1493625"/>
    <x v="1"/>
    <x v="76"/>
    <d v="1899-12-30T10:17:00"/>
    <s v="Credit card"/>
    <n v="14225"/>
    <n v="4761904762"/>
    <n v="71125"/>
    <n v="91"/>
    <n v="14225"/>
  </r>
  <r>
    <s v="898-04-2717"/>
    <s v="Alex"/>
    <x v="0"/>
    <s v="Normal"/>
    <x v="1"/>
    <x v="5"/>
    <n v="764"/>
    <n v="9"/>
    <n v="3438"/>
    <n v="72198"/>
    <x v="1"/>
    <x v="35"/>
    <d v="1899-12-30T15:49:00"/>
    <s v="Ewallet"/>
    <n v="6876"/>
    <n v="4761904762"/>
    <n v="3438"/>
    <n v="75"/>
    <n v="6876"/>
  </r>
  <r>
    <s v="692-27-8933"/>
    <s v="Cairo"/>
    <x v="2"/>
    <s v="Normal"/>
    <x v="0"/>
    <x v="3"/>
    <n v="5795"/>
    <n v="6"/>
    <n v="17385"/>
    <n v="365085"/>
    <x v="2"/>
    <x v="7"/>
    <d v="1899-12-30T13:02:00"/>
    <s v="Cash"/>
    <n v="3477"/>
    <n v="4761904762"/>
    <n v="17385"/>
    <n v="52"/>
    <n v="34770"/>
  </r>
  <r>
    <s v="633-09-3463"/>
    <s v="Giza"/>
    <x v="1"/>
    <s v="Normal"/>
    <x v="0"/>
    <x v="1"/>
    <n v="4765"/>
    <n v="3"/>
    <n v="71475"/>
    <n v="1500975"/>
    <x v="1"/>
    <x v="61"/>
    <d v="1899-12-30T12:58:00"/>
    <s v="Credit card"/>
    <n v="14295"/>
    <n v="4761904762"/>
    <n v="71475"/>
    <n v="95"/>
    <n v="14295"/>
  </r>
  <r>
    <s v="374-17-3652"/>
    <s v="Cairo"/>
    <x v="2"/>
    <s v="Member"/>
    <x v="0"/>
    <x v="4"/>
    <n v="4282"/>
    <n v="9"/>
    <n v="19269"/>
    <n v="404649"/>
    <x v="2"/>
    <x v="63"/>
    <d v="1899-12-30T15:26:00"/>
    <s v="Credit card"/>
    <n v="38538"/>
    <n v="4761904762"/>
    <n v="19269"/>
    <n v="89"/>
    <n v="38538"/>
  </r>
  <r>
    <s v="378-07-7001"/>
    <s v="Cairo"/>
    <x v="2"/>
    <s v="Member"/>
    <x v="1"/>
    <x v="1"/>
    <n v="4809"/>
    <n v="3"/>
    <n v="72135"/>
    <n v="1514835"/>
    <x v="2"/>
    <x v="34"/>
    <d v="1899-12-30T18:23:00"/>
    <s v="Credit card"/>
    <n v="14427"/>
    <n v="4761904762"/>
    <n v="72135"/>
    <n v="78"/>
    <n v="14427"/>
  </r>
  <r>
    <s v="433-75-6987"/>
    <s v="Cairo"/>
    <x v="2"/>
    <s v="Member"/>
    <x v="0"/>
    <x v="0"/>
    <n v="5597"/>
    <n v="7"/>
    <n v="195895"/>
    <n v="4113795"/>
    <x v="1"/>
    <x v="19"/>
    <d v="1899-12-30T19:06:00"/>
    <s v="Ewallet"/>
    <n v="39179"/>
    <n v="4761904762"/>
    <n v="195895"/>
    <n v="89"/>
    <n v="39179"/>
  </r>
  <r>
    <s v="873-95-4984"/>
    <s v="Cairo"/>
    <x v="2"/>
    <s v="Member"/>
    <x v="0"/>
    <x v="0"/>
    <n v="769"/>
    <n v="7"/>
    <n v="26915"/>
    <n v="565215"/>
    <x v="2"/>
    <x v="42"/>
    <d v="1899-12-30T20:21:00"/>
    <s v="Cash"/>
    <n v="5383"/>
    <n v="4761904762"/>
    <n v="26915"/>
    <n v="77"/>
    <n v="5383"/>
  </r>
  <r>
    <s v="416-13-5917"/>
    <s v="Giza"/>
    <x v="1"/>
    <s v="Normal"/>
    <x v="0"/>
    <x v="4"/>
    <n v="9703"/>
    <n v="5"/>
    <n v="242575"/>
    <n v="5094075"/>
    <x v="0"/>
    <x v="74"/>
    <d v="1899-12-30T16:24:00"/>
    <s v="Ewallet"/>
    <n v="48515"/>
    <n v="4761904762"/>
    <n v="242575"/>
    <n v="93"/>
    <n v="48515"/>
  </r>
  <r>
    <s v="150-89-8043"/>
    <s v="Alex"/>
    <x v="0"/>
    <s v="Normal"/>
    <x v="1"/>
    <x v="3"/>
    <n v="4465"/>
    <n v="3"/>
    <n v="66975"/>
    <n v="1406475"/>
    <x v="2"/>
    <x v="44"/>
    <d v="1899-12-30T15:04:00"/>
    <s v="Cash"/>
    <n v="13395"/>
    <n v="4761904762"/>
    <n v="66975"/>
    <n v="62"/>
    <n v="13395"/>
  </r>
  <r>
    <s v="135-84-8019"/>
    <s v="Alex"/>
    <x v="0"/>
    <s v="Normal"/>
    <x v="0"/>
    <x v="5"/>
    <n v="7793"/>
    <n v="9"/>
    <n v="350685"/>
    <n v="7364385"/>
    <x v="2"/>
    <x v="33"/>
    <d v="1899-12-30T16:10:00"/>
    <s v="Ewallet"/>
    <n v="70137"/>
    <n v="4761904762"/>
    <n v="350685"/>
    <n v="76"/>
    <n v="70137"/>
  </r>
  <r>
    <s v="441-94-7118"/>
    <s v="Alex"/>
    <x v="0"/>
    <s v="Member"/>
    <x v="1"/>
    <x v="1"/>
    <n v="7195"/>
    <n v="1"/>
    <n v="35975"/>
    <n v="755475"/>
    <x v="2"/>
    <x v="87"/>
    <d v="1899-12-30T12:14:00"/>
    <s v="Cash"/>
    <n v="7195"/>
    <n v="4761904762"/>
    <n v="35975"/>
    <n v="73"/>
    <n v="7195"/>
  </r>
  <r>
    <s v="725-96-3778"/>
    <s v="Giza"/>
    <x v="1"/>
    <s v="Member"/>
    <x v="0"/>
    <x v="2"/>
    <n v="8925"/>
    <n v="8"/>
    <n v="357"/>
    <n v="7497"/>
    <x v="0"/>
    <x v="40"/>
    <d v="1899-12-30T10:13:00"/>
    <s v="Cash"/>
    <n v="714"/>
    <n v="4761904762"/>
    <n v="357"/>
    <n v="47"/>
    <n v="71400"/>
  </r>
  <r>
    <s v="531-80-1784"/>
    <s v="Alex"/>
    <x v="0"/>
    <s v="Normal"/>
    <x v="1"/>
    <x v="1"/>
    <n v="2602"/>
    <n v="7"/>
    <n v="9107"/>
    <n v="191247"/>
    <x v="1"/>
    <x v="61"/>
    <d v="1899-12-30T17:38:00"/>
    <s v="Cash"/>
    <n v="18214"/>
    <n v="4761904762"/>
    <n v="9107"/>
    <n v="51"/>
    <n v="18214"/>
  </r>
  <r>
    <s v="400-45-1220"/>
    <s v="Cairo"/>
    <x v="2"/>
    <s v="Normal"/>
    <x v="0"/>
    <x v="0"/>
    <n v="135"/>
    <n v="10"/>
    <n v="675"/>
    <n v="14175"/>
    <x v="2"/>
    <x v="33"/>
    <d v="1899-12-30T11:06:00"/>
    <s v="Credit card"/>
    <n v="135"/>
    <n v="4761904762"/>
    <n v="675"/>
    <n v="48"/>
    <n v="1350"/>
  </r>
  <r>
    <s v="860-79-0874"/>
    <s v="Giza"/>
    <x v="1"/>
    <s v="Member"/>
    <x v="0"/>
    <x v="5"/>
    <n v="993"/>
    <n v="10"/>
    <n v="4965"/>
    <n v="104265"/>
    <x v="2"/>
    <x v="42"/>
    <d v="1899-12-30T14:53:00"/>
    <s v="Credit card"/>
    <n v="993"/>
    <n v="4761904762"/>
    <n v="4965"/>
    <n v="66"/>
    <n v="9930"/>
  </r>
  <r>
    <s v="834-61-8124"/>
    <s v="Alex"/>
    <x v="0"/>
    <s v="Normal"/>
    <x v="1"/>
    <x v="1"/>
    <n v="5169"/>
    <n v="7"/>
    <n v="180915"/>
    <n v="3799215"/>
    <x v="0"/>
    <x v="53"/>
    <d v="1899-12-30T18:22:00"/>
    <s v="Cash"/>
    <n v="36183"/>
    <n v="4761904762"/>
    <n v="180915"/>
    <n v="55"/>
    <n v="36183"/>
  </r>
  <r>
    <s v="115-99-4379"/>
    <s v="Cairo"/>
    <x v="2"/>
    <s v="Member"/>
    <x v="0"/>
    <x v="5"/>
    <n v="5473"/>
    <n v="7"/>
    <n v="191555"/>
    <n v="4022655"/>
    <x v="1"/>
    <x v="86"/>
    <d v="1899-12-30T19:02:00"/>
    <s v="Credit card"/>
    <n v="38311"/>
    <n v="4761904762"/>
    <n v="191555"/>
    <n v="85"/>
    <n v="38311"/>
  </r>
  <r>
    <s v="565-67-6697"/>
    <s v="Cairo"/>
    <x v="2"/>
    <s v="Member"/>
    <x v="1"/>
    <x v="2"/>
    <n v="27"/>
    <n v="9"/>
    <n v="1215"/>
    <n v="25515"/>
    <x v="1"/>
    <x v="22"/>
    <d v="1899-12-30T14:16:00"/>
    <s v="Cash"/>
    <n v="243"/>
    <n v="4761904762"/>
    <n v="1215"/>
    <n v="48"/>
    <n v="243"/>
  </r>
  <r>
    <s v="320-49-6392"/>
    <s v="Giza"/>
    <x v="1"/>
    <s v="Normal"/>
    <x v="0"/>
    <x v="1"/>
    <n v="3024"/>
    <n v="1"/>
    <n v="1512"/>
    <n v="31752"/>
    <x v="1"/>
    <x v="31"/>
    <d v="1899-12-30T15:44:00"/>
    <s v="Cash"/>
    <n v="3024"/>
    <n v="4761904762"/>
    <n v="1512"/>
    <n v="84"/>
    <n v="3024"/>
  </r>
  <r>
    <s v="889-04-9723"/>
    <s v="Cairo"/>
    <x v="2"/>
    <s v="Member"/>
    <x v="0"/>
    <x v="4"/>
    <n v="8914"/>
    <n v="4"/>
    <n v="17828"/>
    <n v="374388"/>
    <x v="0"/>
    <x v="27"/>
    <d v="1899-12-30T12:20:00"/>
    <s v="Credit card"/>
    <n v="35656"/>
    <n v="4761904762"/>
    <n v="17828"/>
    <n v="78"/>
    <n v="35656"/>
  </r>
  <r>
    <s v="632-90-0281"/>
    <s v="Giza"/>
    <x v="1"/>
    <s v="Normal"/>
    <x v="0"/>
    <x v="5"/>
    <n v="3755"/>
    <n v="10"/>
    <n v="18775"/>
    <n v="394275"/>
    <x v="1"/>
    <x v="1"/>
    <d v="1899-12-30T20:01:00"/>
    <s v="Credit card"/>
    <n v="3755"/>
    <n v="4761904762"/>
    <n v="18775"/>
    <n v="93"/>
    <n v="37550"/>
  </r>
  <r>
    <s v="554-42-2417"/>
    <s v="Giza"/>
    <x v="1"/>
    <s v="Normal"/>
    <x v="0"/>
    <x v="3"/>
    <n v="9544"/>
    <n v="10"/>
    <n v="4772"/>
    <n v="100212"/>
    <x v="0"/>
    <x v="51"/>
    <d v="1899-12-30T13:45:00"/>
    <s v="Cash"/>
    <n v="9544"/>
    <n v="4761904762"/>
    <n v="4772"/>
    <n v="52"/>
    <n v="95440"/>
  </r>
  <r>
    <s v="453-63-6187"/>
    <s v="Cairo"/>
    <x v="2"/>
    <s v="Normal"/>
    <x v="1"/>
    <x v="1"/>
    <n v="275"/>
    <n v="3"/>
    <n v="4125"/>
    <n v="86625"/>
    <x v="1"/>
    <x v="59"/>
    <d v="1899-12-30T15:40:00"/>
    <s v="Ewallet"/>
    <n v="825"/>
    <n v="4761904762"/>
    <n v="4125"/>
    <n v="65"/>
    <n v="825"/>
  </r>
  <r>
    <s v="578-80-7669"/>
    <s v="Cairo"/>
    <x v="2"/>
    <s v="Normal"/>
    <x v="1"/>
    <x v="3"/>
    <n v="7497"/>
    <n v="1"/>
    <n v="37485"/>
    <n v="787185"/>
    <x v="1"/>
    <x v="32"/>
    <d v="1899-12-30T16:58:00"/>
    <s v="Cash"/>
    <n v="7497"/>
    <n v="4761904762"/>
    <n v="37485"/>
    <n v="56"/>
    <n v="7497"/>
  </r>
  <r>
    <s v="612-36-5536"/>
    <s v="Alex"/>
    <x v="0"/>
    <s v="Member"/>
    <x v="1"/>
    <x v="4"/>
    <n v="8096"/>
    <n v="8"/>
    <n v="32384"/>
    <n v="680064"/>
    <x v="2"/>
    <x v="21"/>
    <d v="1899-12-30T11:12:00"/>
    <s v="Credit card"/>
    <n v="64768"/>
    <n v="4761904762"/>
    <n v="32384"/>
    <n v="74"/>
    <n v="64768"/>
  </r>
  <r>
    <s v="605-72-4132"/>
    <s v="Giza"/>
    <x v="1"/>
    <s v="Normal"/>
    <x v="0"/>
    <x v="4"/>
    <n v="9447"/>
    <n v="8"/>
    <n v="37788"/>
    <n v="793548"/>
    <x v="2"/>
    <x v="33"/>
    <d v="1899-12-30T15:12:00"/>
    <s v="Cash"/>
    <n v="75576"/>
    <n v="4761904762"/>
    <n v="37788"/>
    <n v="91"/>
    <n v="75576"/>
  </r>
  <r>
    <s v="471-41-2823"/>
    <s v="Giza"/>
    <x v="1"/>
    <s v="Normal"/>
    <x v="1"/>
    <x v="4"/>
    <n v="9979"/>
    <n v="2"/>
    <n v="9979"/>
    <n v="209559"/>
    <x v="1"/>
    <x v="37"/>
    <d v="1899-12-30T20:37:00"/>
    <s v="Ewallet"/>
    <n v="19958"/>
    <n v="4761904762"/>
    <n v="9979"/>
    <n v="8"/>
    <n v="19958"/>
  </r>
  <r>
    <s v="462-67-9126"/>
    <s v="Alex"/>
    <x v="0"/>
    <s v="Normal"/>
    <x v="1"/>
    <x v="2"/>
    <n v="7322"/>
    <n v="6"/>
    <n v="21966"/>
    <n v="461286"/>
    <x v="0"/>
    <x v="18"/>
    <d v="1899-12-30T17:44:00"/>
    <s v="Cash"/>
    <n v="43932"/>
    <n v="4761904762"/>
    <n v="21966"/>
    <n v="72"/>
    <n v="43932"/>
  </r>
  <r>
    <s v="272-27-9238"/>
    <s v="Giza"/>
    <x v="1"/>
    <s v="Normal"/>
    <x v="0"/>
    <x v="4"/>
    <n v="4124"/>
    <n v="4"/>
    <n v="8248"/>
    <n v="173208"/>
    <x v="2"/>
    <x v="88"/>
    <d v="1899-12-30T16:23:00"/>
    <s v="Cash"/>
    <n v="16496"/>
    <n v="4761904762"/>
    <n v="8248"/>
    <n v="71"/>
    <n v="16496"/>
  </r>
  <r>
    <s v="834-25-9262"/>
    <s v="Giza"/>
    <x v="1"/>
    <s v="Normal"/>
    <x v="0"/>
    <x v="5"/>
    <n v="8168"/>
    <n v="4"/>
    <n v="16336"/>
    <n v="343056"/>
    <x v="0"/>
    <x v="47"/>
    <d v="1899-12-30T12:12:00"/>
    <s v="Cash"/>
    <n v="32672"/>
    <n v="4761904762"/>
    <n v="16336"/>
    <n v="91"/>
    <n v="32672"/>
  </r>
  <r>
    <s v="122-61-9553"/>
    <s v="Giza"/>
    <x v="1"/>
    <s v="Normal"/>
    <x v="0"/>
    <x v="1"/>
    <n v="5132"/>
    <n v="9"/>
    <n v="23094"/>
    <n v="484974"/>
    <x v="1"/>
    <x v="86"/>
    <d v="1899-12-30T19:33:00"/>
    <s v="Cash"/>
    <n v="46188"/>
    <n v="4761904762"/>
    <n v="23094"/>
    <n v="56"/>
    <n v="46188"/>
  </r>
  <r>
    <s v="468-88-0009"/>
    <s v="Alex"/>
    <x v="0"/>
    <s v="Member"/>
    <x v="1"/>
    <x v="2"/>
    <n v="6594"/>
    <n v="4"/>
    <n v="13188"/>
    <n v="276948"/>
    <x v="1"/>
    <x v="62"/>
    <d v="1899-12-30T10:29:00"/>
    <s v="Cash"/>
    <n v="26376"/>
    <n v="4761904762"/>
    <n v="13188"/>
    <n v="6"/>
    <n v="26376"/>
  </r>
  <r>
    <s v="613-59-9758"/>
    <s v="Giza"/>
    <x v="1"/>
    <s v="Normal"/>
    <x v="0"/>
    <x v="3"/>
    <n v="1436"/>
    <n v="10"/>
    <n v="718"/>
    <n v="15078"/>
    <x v="0"/>
    <x v="3"/>
    <d v="1899-12-30T14:28:00"/>
    <s v="Cash"/>
    <n v="1436"/>
    <n v="4761904762"/>
    <n v="718"/>
    <n v="54"/>
    <n v="14360"/>
  </r>
  <r>
    <s v="254-31-0042"/>
    <s v="Alex"/>
    <x v="0"/>
    <s v="Member"/>
    <x v="1"/>
    <x v="1"/>
    <n v="215"/>
    <n v="9"/>
    <n v="9675"/>
    <n v="203175"/>
    <x v="1"/>
    <x v="43"/>
    <d v="1899-12-30T12:46:00"/>
    <s v="Credit card"/>
    <n v="1935"/>
    <n v="4761904762"/>
    <n v="9675"/>
    <n v="78"/>
    <n v="1935"/>
  </r>
  <r>
    <s v="201-86-2184"/>
    <s v="Cairo"/>
    <x v="2"/>
    <s v="Member"/>
    <x v="0"/>
    <x v="1"/>
    <n v="2626"/>
    <n v="7"/>
    <n v="9191"/>
    <n v="193011"/>
    <x v="2"/>
    <x v="30"/>
    <d v="1899-12-30T19:40:00"/>
    <s v="Cash"/>
    <n v="18382"/>
    <n v="4761904762"/>
    <n v="9191"/>
    <n v="99"/>
    <n v="18382"/>
  </r>
  <r>
    <s v="261-12-8671"/>
    <s v="Cairo"/>
    <x v="2"/>
    <s v="Normal"/>
    <x v="0"/>
    <x v="5"/>
    <n v="6096"/>
    <n v="2"/>
    <n v="6096"/>
    <n v="128016"/>
    <x v="0"/>
    <x v="25"/>
    <d v="1899-12-30T19:39:00"/>
    <s v="Credit card"/>
    <n v="12192"/>
    <n v="4761904762"/>
    <n v="6096"/>
    <n v="49"/>
    <n v="12192"/>
  </r>
  <r>
    <s v="730-70-9830"/>
    <s v="Giza"/>
    <x v="1"/>
    <s v="Normal"/>
    <x v="0"/>
    <x v="2"/>
    <n v="7011"/>
    <n v="6"/>
    <n v="21033"/>
    <n v="441693"/>
    <x v="1"/>
    <x v="86"/>
    <d v="1899-12-30T17:54:00"/>
    <s v="Ewallet"/>
    <n v="42066"/>
    <n v="4761904762"/>
    <n v="21033"/>
    <n v="52"/>
    <n v="42066"/>
  </r>
  <r>
    <s v="382-25-8917"/>
    <s v="Giza"/>
    <x v="1"/>
    <s v="Normal"/>
    <x v="1"/>
    <x v="5"/>
    <n v="4208"/>
    <n v="6"/>
    <n v="12624"/>
    <n v="265104"/>
    <x v="0"/>
    <x v="71"/>
    <d v="1899-12-30T12:25:00"/>
    <s v="Cash"/>
    <n v="25248"/>
    <n v="4761904762"/>
    <n v="12624"/>
    <n v="89"/>
    <n v="25248"/>
  </r>
  <r>
    <s v="422-29-8786"/>
    <s v="Alex"/>
    <x v="0"/>
    <s v="Normal"/>
    <x v="0"/>
    <x v="2"/>
    <n v="6709"/>
    <n v="5"/>
    <n v="167725"/>
    <n v="3522225"/>
    <x v="0"/>
    <x v="75"/>
    <d v="1899-12-30T16:47:00"/>
    <s v="Credit card"/>
    <n v="33545"/>
    <n v="4761904762"/>
    <n v="167725"/>
    <n v="91"/>
    <n v="33545"/>
  </r>
  <r>
    <s v="667-23-5919"/>
    <s v="Alex"/>
    <x v="0"/>
    <s v="Member"/>
    <x v="0"/>
    <x v="5"/>
    <n v="967"/>
    <n v="5"/>
    <n v="24175"/>
    <n v="507675"/>
    <x v="0"/>
    <x v="78"/>
    <d v="1899-12-30T12:52:00"/>
    <s v="Ewallet"/>
    <n v="4835"/>
    <n v="4761904762"/>
    <n v="24175"/>
    <n v="7"/>
    <n v="4835"/>
  </r>
  <r>
    <s v="843-01-4703"/>
    <s v="Cairo"/>
    <x v="2"/>
    <s v="Member"/>
    <x v="0"/>
    <x v="2"/>
    <n v="3538"/>
    <n v="9"/>
    <n v="15921"/>
    <n v="334341"/>
    <x v="0"/>
    <x v="0"/>
    <d v="1899-12-30T19:50:00"/>
    <s v="Credit card"/>
    <n v="31842"/>
    <n v="4761904762"/>
    <n v="15921"/>
    <n v="96"/>
    <n v="31842"/>
  </r>
  <r>
    <s v="743-88-1662"/>
    <s v="Giza"/>
    <x v="1"/>
    <s v="Normal"/>
    <x v="1"/>
    <x v="3"/>
    <n v="9549"/>
    <n v="7"/>
    <n v="334215"/>
    <n v="7018515"/>
    <x v="2"/>
    <x v="70"/>
    <d v="1899-12-30T18:17:00"/>
    <s v="Ewallet"/>
    <n v="66843"/>
    <n v="4761904762"/>
    <n v="334215"/>
    <n v="87"/>
    <n v="66843"/>
  </r>
  <r>
    <s v="595-86-2894"/>
    <s v="Giza"/>
    <x v="1"/>
    <s v="Member"/>
    <x v="1"/>
    <x v="5"/>
    <n v="9698"/>
    <n v="4"/>
    <n v="19396"/>
    <n v="407316"/>
    <x v="2"/>
    <x v="10"/>
    <d v="1899-12-30T17:20:00"/>
    <s v="Ewallet"/>
    <n v="38792"/>
    <n v="4761904762"/>
    <n v="19396"/>
    <n v="94"/>
    <n v="38792"/>
  </r>
  <r>
    <s v="182-69-8360"/>
    <s v="Cairo"/>
    <x v="2"/>
    <s v="Normal"/>
    <x v="0"/>
    <x v="1"/>
    <n v="2365"/>
    <n v="4"/>
    <n v="473"/>
    <n v="9933"/>
    <x v="0"/>
    <x v="74"/>
    <d v="1899-12-30T13:32:00"/>
    <s v="Credit card"/>
    <n v="946"/>
    <n v="4761904762"/>
    <n v="473"/>
    <n v="4"/>
    <n v="9460"/>
  </r>
  <r>
    <s v="289-15-7034"/>
    <s v="Alex"/>
    <x v="0"/>
    <s v="Member"/>
    <x v="1"/>
    <x v="3"/>
    <n v="8233"/>
    <n v="4"/>
    <n v="16466"/>
    <n v="345786"/>
    <x v="0"/>
    <x v="83"/>
    <d v="1899-12-30T10:37:00"/>
    <s v="Credit card"/>
    <n v="32932"/>
    <n v="4761904762"/>
    <n v="16466"/>
    <n v="75"/>
    <n v="32932"/>
  </r>
  <r>
    <s v="462-78-5240"/>
    <s v="Giza"/>
    <x v="1"/>
    <s v="Normal"/>
    <x v="0"/>
    <x v="1"/>
    <n v="2661"/>
    <n v="2"/>
    <n v="2661"/>
    <n v="55881"/>
    <x v="1"/>
    <x v="35"/>
    <d v="1899-12-30T14:35:00"/>
    <s v="Cash"/>
    <n v="5322"/>
    <n v="4761904762"/>
    <n v="2661"/>
    <n v="42"/>
    <n v="5322"/>
  </r>
  <r>
    <s v="868-52-7573"/>
    <s v="Cairo"/>
    <x v="2"/>
    <s v="Normal"/>
    <x v="0"/>
    <x v="4"/>
    <n v="9969"/>
    <n v="5"/>
    <n v="249225"/>
    <n v="5233725"/>
    <x v="0"/>
    <x v="78"/>
    <d v="1899-12-30T12:09:00"/>
    <s v="Cash"/>
    <n v="49845"/>
    <n v="4761904762"/>
    <n v="249225"/>
    <n v="99"/>
    <n v="49845"/>
  </r>
  <r>
    <s v="153-58-4872"/>
    <s v="Giza"/>
    <x v="1"/>
    <s v="Member"/>
    <x v="0"/>
    <x v="4"/>
    <n v="7489"/>
    <n v="4"/>
    <n v="14978"/>
    <n v="314538"/>
    <x v="1"/>
    <x v="59"/>
    <d v="1899-12-30T15:32:00"/>
    <s v="Ewallet"/>
    <n v="29956"/>
    <n v="4761904762"/>
    <n v="14978"/>
    <n v="42"/>
    <n v="29956"/>
  </r>
  <r>
    <s v="662-72-2873"/>
    <s v="Alex"/>
    <x v="0"/>
    <s v="Normal"/>
    <x v="0"/>
    <x v="4"/>
    <n v="4094"/>
    <n v="5"/>
    <n v="10235"/>
    <n v="214935"/>
    <x v="0"/>
    <x v="47"/>
    <d v="1899-12-30T13:58:00"/>
    <s v="Ewallet"/>
    <n v="2047"/>
    <n v="4761904762"/>
    <n v="10235"/>
    <n v="99"/>
    <n v="20470"/>
  </r>
  <r>
    <s v="525-88-7307"/>
    <s v="Cairo"/>
    <x v="2"/>
    <s v="Member"/>
    <x v="1"/>
    <x v="3"/>
    <n v="7582"/>
    <n v="1"/>
    <n v="3791"/>
    <n v="79611"/>
    <x v="0"/>
    <x v="82"/>
    <d v="1899-12-30T13:19:00"/>
    <s v="Cash"/>
    <n v="7582"/>
    <n v="4761904762"/>
    <n v="3791"/>
    <n v="58"/>
    <n v="7582"/>
  </r>
  <r>
    <s v="689-16-9784"/>
    <s v="Giza"/>
    <x v="1"/>
    <s v="Normal"/>
    <x v="1"/>
    <x v="4"/>
    <n v="4677"/>
    <n v="6"/>
    <n v="14031"/>
    <n v="294651"/>
    <x v="1"/>
    <x v="16"/>
    <d v="1899-12-30T13:37:00"/>
    <s v="Cash"/>
    <n v="28062"/>
    <n v="4761904762"/>
    <n v="14031"/>
    <n v="6"/>
    <n v="28062"/>
  </r>
  <r>
    <s v="725-56-0833"/>
    <s v="Alex"/>
    <x v="0"/>
    <s v="Normal"/>
    <x v="0"/>
    <x v="0"/>
    <n v="3232"/>
    <n v="10"/>
    <n v="1616"/>
    <n v="33936"/>
    <x v="2"/>
    <x v="9"/>
    <d v="1899-12-30T16:49:00"/>
    <s v="Credit card"/>
    <n v="3232"/>
    <n v="4761904762"/>
    <n v="1616"/>
    <n v="10"/>
    <n v="32320"/>
  </r>
  <r>
    <s v="394-41-0748"/>
    <s v="Giza"/>
    <x v="1"/>
    <s v="Member"/>
    <x v="0"/>
    <x v="5"/>
    <n v="5407"/>
    <n v="9"/>
    <n v="243315"/>
    <n v="5109615"/>
    <x v="0"/>
    <x v="3"/>
    <d v="1899-12-30T14:55:00"/>
    <s v="Ewallet"/>
    <n v="48663"/>
    <n v="4761904762"/>
    <n v="243315"/>
    <n v="95"/>
    <n v="48663"/>
  </r>
  <r>
    <s v="596-42-3999"/>
    <s v="Cairo"/>
    <x v="2"/>
    <s v="Normal"/>
    <x v="1"/>
    <x v="4"/>
    <n v="1822"/>
    <n v="7"/>
    <n v="6377"/>
    <n v="133917"/>
    <x v="1"/>
    <x v="24"/>
    <d v="1899-12-30T14:04:00"/>
    <s v="Credit card"/>
    <n v="12754"/>
    <n v="4761904762"/>
    <n v="6377"/>
    <n v="66"/>
    <n v="12754"/>
  </r>
  <r>
    <s v="541-89-9860"/>
    <s v="Giza"/>
    <x v="1"/>
    <s v="Member"/>
    <x v="0"/>
    <x v="5"/>
    <n v="8048"/>
    <n v="3"/>
    <n v="12072"/>
    <n v="253512"/>
    <x v="2"/>
    <x v="42"/>
    <d v="1899-12-30T12:31:00"/>
    <s v="Cash"/>
    <n v="24144"/>
    <n v="4761904762"/>
    <n v="12072"/>
    <n v="81"/>
    <n v="24144"/>
  </r>
  <r>
    <s v="173-82-9529"/>
    <s v="Cairo"/>
    <x v="2"/>
    <s v="Normal"/>
    <x v="0"/>
    <x v="5"/>
    <n v="3795"/>
    <n v="10"/>
    <n v="18975"/>
    <n v="398475"/>
    <x v="0"/>
    <x v="53"/>
    <d v="1899-12-30T14:51:00"/>
    <s v="Cash"/>
    <n v="3795"/>
    <n v="4761904762"/>
    <n v="18975"/>
    <n v="97"/>
    <n v="37950"/>
  </r>
  <r>
    <s v="563-36-9814"/>
    <s v="Alex"/>
    <x v="0"/>
    <s v="Member"/>
    <x v="1"/>
    <x v="1"/>
    <n v="7682"/>
    <n v="1"/>
    <n v="3841"/>
    <n v="80661"/>
    <x v="2"/>
    <x v="77"/>
    <d v="1899-12-30T18:27:00"/>
    <s v="Ewallet"/>
    <n v="7682"/>
    <n v="4761904762"/>
    <n v="3841"/>
    <n v="72"/>
    <n v="7682"/>
  </r>
  <r>
    <s v="308-47-4913"/>
    <s v="Alex"/>
    <x v="0"/>
    <s v="Member"/>
    <x v="0"/>
    <x v="3"/>
    <n v="5226"/>
    <n v="10"/>
    <n v="2613"/>
    <n v="54873"/>
    <x v="1"/>
    <x v="11"/>
    <d v="1899-12-30T12:45:00"/>
    <s v="Credit card"/>
    <n v="5226"/>
    <n v="4761904762"/>
    <n v="2613"/>
    <n v="62"/>
    <n v="52260"/>
  </r>
  <r>
    <s v="885-17-6250"/>
    <s v="Alex"/>
    <x v="0"/>
    <s v="Normal"/>
    <x v="0"/>
    <x v="0"/>
    <n v="7974"/>
    <n v="1"/>
    <n v="3987"/>
    <n v="83727"/>
    <x v="1"/>
    <x v="43"/>
    <d v="1899-12-30T10:36:00"/>
    <s v="Ewallet"/>
    <n v="7974"/>
    <n v="4761904762"/>
    <n v="3987"/>
    <n v="73"/>
    <n v="7974"/>
  </r>
  <r>
    <s v="726-27-2396"/>
    <s v="Alex"/>
    <x v="0"/>
    <s v="Normal"/>
    <x v="0"/>
    <x v="0"/>
    <n v="775"/>
    <n v="5"/>
    <n v="19375"/>
    <n v="406875"/>
    <x v="0"/>
    <x v="46"/>
    <d v="1899-12-30T20:36:00"/>
    <s v="Ewallet"/>
    <n v="3875"/>
    <n v="4761904762"/>
    <n v="19375"/>
    <n v="43"/>
    <n v="3875"/>
  </r>
  <r>
    <s v="316-01-3952"/>
    <s v="Alex"/>
    <x v="0"/>
    <s v="Normal"/>
    <x v="0"/>
    <x v="4"/>
    <n v="5427"/>
    <n v="5"/>
    <n v="135675"/>
    <n v="2849175"/>
    <x v="1"/>
    <x v="45"/>
    <d v="1899-12-30T14:16:00"/>
    <s v="Ewallet"/>
    <n v="27135"/>
    <n v="4761904762"/>
    <n v="135675"/>
    <n v="46"/>
    <n v="27135"/>
  </r>
  <r>
    <s v="760-54-1821"/>
    <s v="Cairo"/>
    <x v="2"/>
    <s v="Normal"/>
    <x v="1"/>
    <x v="2"/>
    <n v="1359"/>
    <n v="9"/>
    <n v="61155"/>
    <n v="1284255"/>
    <x v="1"/>
    <x v="20"/>
    <d v="1899-12-30T10:26:00"/>
    <s v="Cash"/>
    <n v="12231"/>
    <n v="4761904762"/>
    <n v="61155"/>
    <n v="58"/>
    <n v="12231"/>
  </r>
  <r>
    <s v="793-10-3222"/>
    <s v="Cairo"/>
    <x v="2"/>
    <s v="Member"/>
    <x v="0"/>
    <x v="0"/>
    <n v="4106"/>
    <n v="6"/>
    <n v="12318"/>
    <n v="258678"/>
    <x v="1"/>
    <x v="19"/>
    <d v="1899-12-30T13:30:00"/>
    <s v="Credit card"/>
    <n v="24636"/>
    <n v="4761904762"/>
    <n v="12318"/>
    <n v="83"/>
    <n v="24636"/>
  </r>
  <r>
    <s v="346-12-3257"/>
    <s v="Cairo"/>
    <x v="2"/>
    <s v="Member"/>
    <x v="1"/>
    <x v="1"/>
    <n v="1924"/>
    <n v="9"/>
    <n v="8658"/>
    <n v="181818"/>
    <x v="1"/>
    <x v="31"/>
    <d v="1899-12-30T16:28:00"/>
    <s v="Cash"/>
    <n v="17316"/>
    <n v="4761904762"/>
    <n v="8658"/>
    <n v="8"/>
    <n v="17316"/>
  </r>
  <r>
    <s v="110-05-6330"/>
    <s v="Giza"/>
    <x v="1"/>
    <s v="Normal"/>
    <x v="0"/>
    <x v="4"/>
    <n v="3943"/>
    <n v="6"/>
    <n v="11829"/>
    <n v="248409"/>
    <x v="1"/>
    <x v="5"/>
    <d v="1899-12-30T20:18:00"/>
    <s v="Credit card"/>
    <n v="23658"/>
    <n v="4761904762"/>
    <n v="11829"/>
    <n v="94"/>
    <n v="23658"/>
  </r>
  <r>
    <s v="651-61-0874"/>
    <s v="Giza"/>
    <x v="1"/>
    <s v="Normal"/>
    <x v="1"/>
    <x v="2"/>
    <n v="4622"/>
    <n v="4"/>
    <n v="9244"/>
    <n v="194124"/>
    <x v="1"/>
    <x v="41"/>
    <d v="1899-12-30T20:04:00"/>
    <s v="Credit card"/>
    <n v="18488"/>
    <n v="4761904762"/>
    <n v="9244"/>
    <n v="62"/>
    <n v="18488"/>
  </r>
  <r>
    <s v="236-86-3015"/>
    <s v="Giza"/>
    <x v="1"/>
    <s v="Member"/>
    <x v="1"/>
    <x v="2"/>
    <n v="1398"/>
    <n v="1"/>
    <n v="699"/>
    <n v="14679"/>
    <x v="2"/>
    <x v="87"/>
    <d v="1899-12-30T13:38:00"/>
    <s v="Ewallet"/>
    <n v="1398"/>
    <n v="4761904762"/>
    <n v="699"/>
    <n v="98"/>
    <n v="1398"/>
  </r>
  <r>
    <s v="831-64-0259"/>
    <s v="Cairo"/>
    <x v="2"/>
    <s v="Normal"/>
    <x v="0"/>
    <x v="5"/>
    <n v="3975"/>
    <n v="5"/>
    <n v="99375"/>
    <n v="2086875"/>
    <x v="2"/>
    <x v="70"/>
    <d v="1899-12-30T10:43:00"/>
    <s v="Ewallet"/>
    <n v="19875"/>
    <n v="4761904762"/>
    <n v="99375"/>
    <n v="96"/>
    <n v="19875"/>
  </r>
  <r>
    <s v="587-03-7455"/>
    <s v="Giza"/>
    <x v="1"/>
    <s v="Member"/>
    <x v="0"/>
    <x v="5"/>
    <n v="9779"/>
    <n v="7"/>
    <n v="342265"/>
    <n v="7187565"/>
    <x v="2"/>
    <x v="69"/>
    <d v="1899-12-30T17:30:00"/>
    <s v="Ewallet"/>
    <n v="68453"/>
    <n v="4761904762"/>
    <n v="342265"/>
    <n v="49"/>
    <n v="68453"/>
  </r>
  <r>
    <s v="882-40-4577"/>
    <s v="Alex"/>
    <x v="0"/>
    <s v="Member"/>
    <x v="1"/>
    <x v="3"/>
    <n v="6726"/>
    <n v="4"/>
    <n v="13452"/>
    <n v="282492"/>
    <x v="0"/>
    <x v="64"/>
    <d v="1899-12-30T15:28:00"/>
    <s v="Credit card"/>
    <n v="26904"/>
    <n v="4761904762"/>
    <n v="13452"/>
    <n v="8"/>
    <n v="26904"/>
  </r>
  <r>
    <s v="732-67-5346"/>
    <s v="Alex"/>
    <x v="0"/>
    <s v="Normal"/>
    <x v="1"/>
    <x v="4"/>
    <n v="1379"/>
    <n v="5"/>
    <n v="34475"/>
    <n v="723975"/>
    <x v="0"/>
    <x v="83"/>
    <d v="1899-12-30T19:07:00"/>
    <s v="Credit card"/>
    <n v="6895"/>
    <n v="4761904762"/>
    <n v="34475"/>
    <n v="78"/>
    <n v="6895"/>
  </r>
  <r>
    <s v="725-32-9708"/>
    <s v="Cairo"/>
    <x v="2"/>
    <s v="Member"/>
    <x v="0"/>
    <x v="5"/>
    <n v="6871"/>
    <n v="4"/>
    <n v="13742"/>
    <n v="288582"/>
    <x v="0"/>
    <x v="72"/>
    <d v="1899-12-30T19:01:00"/>
    <s v="Cash"/>
    <n v="27484"/>
    <n v="4761904762"/>
    <n v="13742"/>
    <n v="41"/>
    <n v="27484"/>
  </r>
  <r>
    <s v="256-08-8343"/>
    <s v="Alex"/>
    <x v="0"/>
    <s v="Normal"/>
    <x v="0"/>
    <x v="2"/>
    <n v="5653"/>
    <n v="4"/>
    <n v="11306"/>
    <n v="237426"/>
    <x v="1"/>
    <x v="31"/>
    <d v="1899-12-30T19:48:00"/>
    <s v="Ewallet"/>
    <n v="22612"/>
    <n v="4761904762"/>
    <n v="11306"/>
    <n v="55"/>
    <n v="22612"/>
  </r>
  <r>
    <s v="372-26-1506"/>
    <s v="Giza"/>
    <x v="1"/>
    <s v="Normal"/>
    <x v="0"/>
    <x v="5"/>
    <n v="2382"/>
    <n v="5"/>
    <n v="5955"/>
    <n v="125055"/>
    <x v="0"/>
    <x v="26"/>
    <d v="1899-12-30T19:24:00"/>
    <s v="Ewallet"/>
    <n v="1191"/>
    <n v="4761904762"/>
    <n v="5955"/>
    <n v="54"/>
    <n v="11910"/>
  </r>
  <r>
    <s v="244-08-0162"/>
    <s v="Cairo"/>
    <x v="2"/>
    <s v="Normal"/>
    <x v="0"/>
    <x v="0"/>
    <n v="3421"/>
    <n v="10"/>
    <n v="17105"/>
    <n v="359205"/>
    <x v="0"/>
    <x v="56"/>
    <d v="1899-12-30T13:00:00"/>
    <s v="Cash"/>
    <n v="3421"/>
    <n v="4761904762"/>
    <n v="17105"/>
    <n v="51"/>
    <n v="34210"/>
  </r>
  <r>
    <s v="569-71-4390"/>
    <s v="Cairo"/>
    <x v="2"/>
    <s v="Normal"/>
    <x v="1"/>
    <x v="3"/>
    <n v="2187"/>
    <n v="2"/>
    <n v="2187"/>
    <n v="45927"/>
    <x v="0"/>
    <x v="25"/>
    <d v="1899-12-30T14:29:00"/>
    <s v="Ewallet"/>
    <n v="4374"/>
    <n v="4761904762"/>
    <n v="2187"/>
    <n v="69"/>
    <n v="4374"/>
  </r>
  <r>
    <s v="132-23-6451"/>
    <s v="Alex"/>
    <x v="0"/>
    <s v="Member"/>
    <x v="1"/>
    <x v="0"/>
    <n v="2097"/>
    <n v="5"/>
    <n v="52425"/>
    <n v="1100925"/>
    <x v="0"/>
    <x v="72"/>
    <d v="1899-12-30T13:21:00"/>
    <s v="Cash"/>
    <n v="10485"/>
    <n v="4761904762"/>
    <n v="52425"/>
    <n v="78"/>
    <n v="10485"/>
  </r>
  <r>
    <s v="696-90-2548"/>
    <s v="Alex"/>
    <x v="0"/>
    <s v="Normal"/>
    <x v="1"/>
    <x v="3"/>
    <n v="2584"/>
    <n v="3"/>
    <n v="3876"/>
    <n v="81396"/>
    <x v="1"/>
    <x v="24"/>
    <d v="1899-12-30T18:55:00"/>
    <s v="Ewallet"/>
    <n v="7752"/>
    <n v="4761904762"/>
    <n v="3876"/>
    <n v="66"/>
    <n v="7752"/>
  </r>
  <r>
    <s v="472-15-9636"/>
    <s v="Alex"/>
    <x v="0"/>
    <s v="Normal"/>
    <x v="1"/>
    <x v="2"/>
    <n v="5093"/>
    <n v="8"/>
    <n v="20372"/>
    <n v="427812"/>
    <x v="1"/>
    <x v="23"/>
    <d v="1899-12-30T19:36:00"/>
    <s v="Ewallet"/>
    <n v="40744"/>
    <n v="4761904762"/>
    <n v="20372"/>
    <n v="92"/>
    <n v="40744"/>
  </r>
  <r>
    <s v="268-03-6164"/>
    <s v="Cairo"/>
    <x v="2"/>
    <s v="Normal"/>
    <x v="1"/>
    <x v="0"/>
    <n v="9611"/>
    <n v="1"/>
    <n v="48055"/>
    <n v="1009155"/>
    <x v="0"/>
    <x v="25"/>
    <d v="1899-12-30T16:28:00"/>
    <s v="Ewallet"/>
    <n v="9611"/>
    <n v="4761904762"/>
    <n v="48055"/>
    <n v="78"/>
    <n v="9611"/>
  </r>
  <r>
    <s v="750-57-9686"/>
    <s v="Giza"/>
    <x v="1"/>
    <s v="Normal"/>
    <x v="0"/>
    <x v="2"/>
    <n v="4538"/>
    <n v="4"/>
    <n v="9076"/>
    <n v="190596"/>
    <x v="0"/>
    <x v="66"/>
    <d v="1899-12-30T13:48:00"/>
    <s v="Credit card"/>
    <n v="18152"/>
    <n v="4761904762"/>
    <n v="9076"/>
    <n v="87"/>
    <n v="18152"/>
  </r>
  <r>
    <s v="186-09-3669"/>
    <s v="Giza"/>
    <x v="1"/>
    <s v="Member"/>
    <x v="0"/>
    <x v="0"/>
    <n v="8151"/>
    <n v="1"/>
    <n v="40755"/>
    <n v="855855"/>
    <x v="0"/>
    <x v="49"/>
    <d v="1899-12-30T10:57:00"/>
    <s v="Ewallet"/>
    <n v="8151"/>
    <n v="4761904762"/>
    <n v="40755"/>
    <n v="92"/>
    <n v="8151"/>
  </r>
  <r>
    <s v="848-07-1692"/>
    <s v="Cairo"/>
    <x v="2"/>
    <s v="Normal"/>
    <x v="0"/>
    <x v="0"/>
    <n v="5722"/>
    <n v="2"/>
    <n v="5722"/>
    <n v="120162"/>
    <x v="0"/>
    <x v="52"/>
    <d v="1899-12-30T17:13:00"/>
    <s v="Ewallet"/>
    <n v="11444"/>
    <n v="4761904762"/>
    <n v="5722"/>
    <n v="83"/>
    <n v="11444"/>
  </r>
  <r>
    <s v="745-71-3520"/>
    <s v="Alex"/>
    <x v="0"/>
    <s v="Member"/>
    <x v="0"/>
    <x v="1"/>
    <n v="2522"/>
    <n v="7"/>
    <n v="8827"/>
    <n v="185367"/>
    <x v="2"/>
    <x v="87"/>
    <d v="1899-12-30T10:23:00"/>
    <s v="Cash"/>
    <n v="17654"/>
    <n v="4761904762"/>
    <n v="8827"/>
    <n v="82"/>
    <n v="17654"/>
  </r>
  <r>
    <s v="266-76-6436"/>
    <s v="Giza"/>
    <x v="1"/>
    <s v="Member"/>
    <x v="0"/>
    <x v="4"/>
    <n v="386"/>
    <n v="3"/>
    <n v="579"/>
    <n v="12159"/>
    <x v="1"/>
    <x v="61"/>
    <d v="1899-12-30T13:57:00"/>
    <s v="Ewallet"/>
    <n v="1158"/>
    <n v="4761904762"/>
    <n v="579"/>
    <n v="75"/>
    <n v="1158"/>
  </r>
  <r>
    <s v="740-22-2500"/>
    <s v="Giza"/>
    <x v="1"/>
    <s v="Normal"/>
    <x v="0"/>
    <x v="1"/>
    <n v="8405"/>
    <n v="3"/>
    <n v="126075"/>
    <n v="2647575"/>
    <x v="0"/>
    <x v="54"/>
    <d v="1899-12-30T13:29:00"/>
    <s v="Cash"/>
    <n v="25215"/>
    <n v="4761904762"/>
    <n v="126075"/>
    <n v="98"/>
    <n v="25215"/>
  </r>
  <r>
    <s v="271-88-8734"/>
    <s v="Giza"/>
    <x v="1"/>
    <s v="Member"/>
    <x v="0"/>
    <x v="5"/>
    <n v="9721"/>
    <n v="10"/>
    <n v="48605"/>
    <n v="1020705"/>
    <x v="2"/>
    <x v="4"/>
    <d v="1899-12-30T13:00:00"/>
    <s v="Credit card"/>
    <n v="9721"/>
    <n v="4761904762"/>
    <n v="48605"/>
    <n v="87"/>
    <n v="97210"/>
  </r>
  <r>
    <s v="301-81-8610"/>
    <s v="Cairo"/>
    <x v="2"/>
    <s v="Member"/>
    <x v="1"/>
    <x v="5"/>
    <n v="2542"/>
    <n v="8"/>
    <n v="10168"/>
    <n v="213528"/>
    <x v="1"/>
    <x v="35"/>
    <d v="1899-12-30T19:42:00"/>
    <s v="Credit card"/>
    <n v="20336"/>
    <n v="4761904762"/>
    <n v="10168"/>
    <n v="67"/>
    <n v="20336"/>
  </r>
  <r>
    <s v="489-64-4354"/>
    <s v="Giza"/>
    <x v="1"/>
    <s v="Normal"/>
    <x v="1"/>
    <x v="5"/>
    <n v="1628"/>
    <n v="1"/>
    <n v="814"/>
    <n v="17094"/>
    <x v="1"/>
    <x v="11"/>
    <d v="1899-12-30T15:36:00"/>
    <s v="Cash"/>
    <n v="1628"/>
    <n v="4761904762"/>
    <n v="814"/>
    <n v="5"/>
    <n v="1628"/>
  </r>
  <r>
    <s v="198-84-7132"/>
    <s v="Cairo"/>
    <x v="2"/>
    <s v="Member"/>
    <x v="1"/>
    <x v="5"/>
    <n v="4061"/>
    <n v="9"/>
    <n v="182745"/>
    <n v="3837645"/>
    <x v="0"/>
    <x v="56"/>
    <d v="1899-12-30T13:40:00"/>
    <s v="Cash"/>
    <n v="36549"/>
    <n v="4761904762"/>
    <n v="182745"/>
    <n v="7"/>
    <n v="36549"/>
  </r>
  <r>
    <s v="269-10-8440"/>
    <s v="Alex"/>
    <x v="0"/>
    <s v="Member"/>
    <x v="1"/>
    <x v="0"/>
    <n v="5317"/>
    <n v="7"/>
    <n v="186095"/>
    <n v="3907995"/>
    <x v="0"/>
    <x v="18"/>
    <d v="1899-12-30T18:01:00"/>
    <s v="Cash"/>
    <n v="37219"/>
    <n v="4761904762"/>
    <n v="186095"/>
    <n v="89"/>
    <n v="37219"/>
  </r>
  <r>
    <s v="650-98-6268"/>
    <s v="Cairo"/>
    <x v="2"/>
    <s v="Member"/>
    <x v="0"/>
    <x v="4"/>
    <n v="2087"/>
    <n v="3"/>
    <n v="31305"/>
    <n v="657405"/>
    <x v="1"/>
    <x v="80"/>
    <d v="1899-12-30T13:53:00"/>
    <s v="Credit card"/>
    <n v="6261"/>
    <n v="4761904762"/>
    <n v="31305"/>
    <n v="8"/>
    <n v="6261"/>
  </r>
  <r>
    <s v="741-73-3559"/>
    <s v="Cairo"/>
    <x v="2"/>
    <s v="Normal"/>
    <x v="1"/>
    <x v="3"/>
    <n v="6727"/>
    <n v="5"/>
    <n v="168175"/>
    <n v="3531675"/>
    <x v="2"/>
    <x v="33"/>
    <d v="1899-12-30T17:27:00"/>
    <s v="Cash"/>
    <n v="33635"/>
    <n v="4761904762"/>
    <n v="168175"/>
    <n v="69"/>
    <n v="33635"/>
  </r>
  <r>
    <s v="325-77-6186"/>
    <s v="Alex"/>
    <x v="0"/>
    <s v="Member"/>
    <x v="0"/>
    <x v="2"/>
    <n v="9065"/>
    <n v="10"/>
    <n v="45325"/>
    <n v="951825"/>
    <x v="1"/>
    <x v="1"/>
    <d v="1899-12-30T10:53:00"/>
    <s v="Ewallet"/>
    <n v="9065"/>
    <n v="4761904762"/>
    <n v="45325"/>
    <n v="73"/>
    <n v="90650"/>
  </r>
  <r>
    <s v="286-75-7818"/>
    <s v="Cairo"/>
    <x v="2"/>
    <s v="Normal"/>
    <x v="1"/>
    <x v="5"/>
    <n v="6908"/>
    <n v="2"/>
    <n v="6908"/>
    <n v="145068"/>
    <x v="0"/>
    <x v="82"/>
    <d v="1899-12-30T19:48:00"/>
    <s v="Credit card"/>
    <n v="13816"/>
    <n v="4761904762"/>
    <n v="6908"/>
    <n v="69"/>
    <n v="13816"/>
  </r>
  <r>
    <s v="574-57-9721"/>
    <s v="Giza"/>
    <x v="1"/>
    <s v="Normal"/>
    <x v="1"/>
    <x v="4"/>
    <n v="4327"/>
    <n v="2"/>
    <n v="4327"/>
    <n v="90867"/>
    <x v="1"/>
    <x v="1"/>
    <d v="1899-12-30T16:53:00"/>
    <s v="Ewallet"/>
    <n v="8654"/>
    <n v="4761904762"/>
    <n v="4327"/>
    <n v="57"/>
    <n v="8654"/>
  </r>
  <r>
    <s v="459-50-7686"/>
    <s v="Alex"/>
    <x v="0"/>
    <s v="Normal"/>
    <x v="0"/>
    <x v="1"/>
    <n v="2346"/>
    <n v="6"/>
    <n v="7038"/>
    <n v="147798"/>
    <x v="0"/>
    <x v="50"/>
    <d v="1899-12-30T19:14:00"/>
    <s v="Ewallet"/>
    <n v="14076"/>
    <n v="4761904762"/>
    <n v="7038"/>
    <n v="64"/>
    <n v="14076"/>
  </r>
  <r>
    <s v="616-87-0016"/>
    <s v="Cairo"/>
    <x v="2"/>
    <s v="Normal"/>
    <x v="1"/>
    <x v="5"/>
    <n v="9554"/>
    <n v="7"/>
    <n v="33439"/>
    <n v="702219"/>
    <x v="1"/>
    <x v="11"/>
    <d v="1899-12-30T14:36:00"/>
    <s v="Credit card"/>
    <n v="66878"/>
    <n v="4761904762"/>
    <n v="33439"/>
    <n v="96"/>
    <n v="66878"/>
  </r>
  <r>
    <s v="837-55-7229"/>
    <s v="Cairo"/>
    <x v="2"/>
    <s v="Normal"/>
    <x v="0"/>
    <x v="5"/>
    <n v="4744"/>
    <n v="1"/>
    <n v="2372"/>
    <n v="49812"/>
    <x v="2"/>
    <x v="70"/>
    <d v="1899-12-30T18:19:00"/>
    <s v="Credit card"/>
    <n v="4744"/>
    <n v="4761904762"/>
    <n v="2372"/>
    <n v="68"/>
    <n v="4744"/>
  </r>
  <r>
    <s v="751-69-0068"/>
    <s v="Giza"/>
    <x v="1"/>
    <s v="Normal"/>
    <x v="1"/>
    <x v="3"/>
    <n v="9924"/>
    <n v="9"/>
    <n v="44658"/>
    <n v="937818"/>
    <x v="1"/>
    <x v="35"/>
    <d v="1899-12-30T19:09:00"/>
    <s v="Ewallet"/>
    <n v="89316"/>
    <n v="4761904762"/>
    <n v="44658"/>
    <n v="9"/>
    <n v="89316"/>
  </r>
  <r>
    <s v="257-73-1380"/>
    <s v="Giza"/>
    <x v="1"/>
    <s v="Member"/>
    <x v="1"/>
    <x v="3"/>
    <n v="8293"/>
    <n v="4"/>
    <n v="16586"/>
    <n v="348306"/>
    <x v="0"/>
    <x v="40"/>
    <d v="1899-12-30T16:51:00"/>
    <s v="Ewallet"/>
    <n v="33172"/>
    <n v="4761904762"/>
    <n v="16586"/>
    <n v="96"/>
    <n v="33172"/>
  </r>
  <r>
    <s v="345-08-4992"/>
    <s v="Alex"/>
    <x v="0"/>
    <s v="Normal"/>
    <x v="1"/>
    <x v="2"/>
    <n v="3399"/>
    <n v="6"/>
    <n v="10197"/>
    <n v="214137"/>
    <x v="1"/>
    <x v="1"/>
    <d v="1899-12-30T15:37:00"/>
    <s v="Credit card"/>
    <n v="20394"/>
    <n v="4761904762"/>
    <n v="10197"/>
    <n v="77"/>
    <n v="20394"/>
  </r>
  <r>
    <s v="549-96-4200"/>
    <s v="Giza"/>
    <x v="1"/>
    <s v="Member"/>
    <x v="1"/>
    <x v="4"/>
    <n v="1704"/>
    <n v="4"/>
    <n v="3408"/>
    <n v="71568"/>
    <x v="1"/>
    <x v="1"/>
    <d v="1899-12-30T20:15:00"/>
    <s v="Ewallet"/>
    <n v="6816"/>
    <n v="4761904762"/>
    <n v="3408"/>
    <n v="7"/>
    <n v="6816"/>
  </r>
  <r>
    <s v="810-60-6344"/>
    <s v="Giza"/>
    <x v="1"/>
    <s v="Normal"/>
    <x v="0"/>
    <x v="1"/>
    <n v="4086"/>
    <n v="8"/>
    <n v="16344"/>
    <n v="343224"/>
    <x v="2"/>
    <x v="13"/>
    <d v="1899-12-30T14:38:00"/>
    <s v="Credit card"/>
    <n v="32688"/>
    <n v="4761904762"/>
    <n v="16344"/>
    <n v="65"/>
    <n v="32688"/>
  </r>
  <r>
    <s v="450-28-2866"/>
    <s v="Giza"/>
    <x v="1"/>
    <s v="Member"/>
    <x v="1"/>
    <x v="4"/>
    <n v="1744"/>
    <n v="5"/>
    <n v="436"/>
    <n v="9156"/>
    <x v="0"/>
    <x v="15"/>
    <d v="1899-12-30T19:25:00"/>
    <s v="Cash"/>
    <n v="872"/>
    <n v="4761904762"/>
    <n v="436"/>
    <n v="81"/>
    <n v="8720"/>
  </r>
  <r>
    <s v="394-30-3170"/>
    <s v="Cairo"/>
    <x v="2"/>
    <s v="Member"/>
    <x v="0"/>
    <x v="3"/>
    <n v="8843"/>
    <n v="8"/>
    <n v="35372"/>
    <n v="742812"/>
    <x v="1"/>
    <x v="23"/>
    <d v="1899-12-30T19:35:00"/>
    <s v="Credit card"/>
    <n v="70744"/>
    <n v="4761904762"/>
    <n v="35372"/>
    <n v="43"/>
    <n v="70744"/>
  </r>
  <r>
    <s v="138-17-5109"/>
    <s v="Alex"/>
    <x v="0"/>
    <s v="Member"/>
    <x v="0"/>
    <x v="2"/>
    <n v="8921"/>
    <n v="9"/>
    <n v="401445"/>
    <n v="8430345"/>
    <x v="0"/>
    <x v="15"/>
    <d v="1899-12-30T15:42:00"/>
    <s v="Credit card"/>
    <n v="80289"/>
    <n v="4761904762"/>
    <n v="401445"/>
    <n v="65"/>
    <n v="80289"/>
  </r>
  <r>
    <s v="192-98-7397"/>
    <s v="Giza"/>
    <x v="1"/>
    <s v="Normal"/>
    <x v="1"/>
    <x v="5"/>
    <n v="1278"/>
    <n v="1"/>
    <n v="639"/>
    <n v="13419"/>
    <x v="0"/>
    <x v="66"/>
    <d v="1899-12-30T14:11:00"/>
    <s v="Ewallet"/>
    <n v="1278"/>
    <n v="4761904762"/>
    <n v="639"/>
    <n v="95"/>
    <n v="1278"/>
  </r>
  <r>
    <s v="301-11-9629"/>
    <s v="Alex"/>
    <x v="0"/>
    <s v="Normal"/>
    <x v="0"/>
    <x v="3"/>
    <n v="191"/>
    <n v="7"/>
    <n v="6685"/>
    <n v="140385"/>
    <x v="0"/>
    <x v="15"/>
    <d v="1899-12-30T10:43:00"/>
    <s v="Cash"/>
    <n v="1337"/>
    <n v="4761904762"/>
    <n v="6685"/>
    <n v="97"/>
    <n v="1337"/>
  </r>
  <r>
    <s v="390-80-5128"/>
    <s v="Cairo"/>
    <x v="2"/>
    <s v="Member"/>
    <x v="0"/>
    <x v="0"/>
    <n v="1915"/>
    <n v="1"/>
    <n v="9575"/>
    <n v="201075"/>
    <x v="0"/>
    <x v="26"/>
    <d v="1899-12-30T17:58:00"/>
    <s v="Credit card"/>
    <n v="1915"/>
    <n v="4761904762"/>
    <n v="9575"/>
    <n v="95"/>
    <n v="1915"/>
  </r>
  <r>
    <s v="235-46-8343"/>
    <s v="Giza"/>
    <x v="1"/>
    <s v="Member"/>
    <x v="1"/>
    <x v="4"/>
    <n v="2766"/>
    <n v="10"/>
    <n v="1383"/>
    <n v="29043"/>
    <x v="2"/>
    <x v="44"/>
    <d v="1899-12-30T11:26:00"/>
    <s v="Credit card"/>
    <n v="2766"/>
    <n v="4761904762"/>
    <n v="1383"/>
    <n v="89"/>
    <n v="27660"/>
  </r>
  <r>
    <s v="453-12-7053"/>
    <s v="Giza"/>
    <x v="1"/>
    <s v="Normal"/>
    <x v="1"/>
    <x v="5"/>
    <n v="4574"/>
    <n v="3"/>
    <n v="6861"/>
    <n v="144081"/>
    <x v="1"/>
    <x v="24"/>
    <d v="1899-12-30T17:38:00"/>
    <s v="Credit card"/>
    <n v="13722"/>
    <n v="4761904762"/>
    <n v="6861"/>
    <n v="65"/>
    <n v="13722"/>
  </r>
  <r>
    <s v="296-11-7041"/>
    <s v="Cairo"/>
    <x v="2"/>
    <s v="Member"/>
    <x v="0"/>
    <x v="0"/>
    <n v="2707"/>
    <n v="1"/>
    <n v="13535"/>
    <n v="284235"/>
    <x v="0"/>
    <x v="52"/>
    <d v="1899-12-30T20:07:00"/>
    <s v="Credit card"/>
    <n v="2707"/>
    <n v="4761904762"/>
    <n v="13535"/>
    <n v="53"/>
    <n v="2707"/>
  </r>
  <r>
    <s v="449-27-2918"/>
    <s v="Cairo"/>
    <x v="2"/>
    <s v="Member"/>
    <x v="0"/>
    <x v="3"/>
    <n v="3912"/>
    <n v="1"/>
    <n v="1956"/>
    <n v="41076"/>
    <x v="1"/>
    <x v="58"/>
    <d v="1899-12-30T11:02:00"/>
    <s v="Credit card"/>
    <n v="3912"/>
    <n v="4761904762"/>
    <n v="1956"/>
    <n v="96"/>
    <n v="3912"/>
  </r>
  <r>
    <s v="891-01-7034"/>
    <s v="Cairo"/>
    <x v="2"/>
    <s v="Normal"/>
    <x v="0"/>
    <x v="1"/>
    <n v="7471"/>
    <n v="6"/>
    <n v="22413"/>
    <n v="470673"/>
    <x v="0"/>
    <x v="17"/>
    <d v="1899-12-30T19:07:00"/>
    <s v="Cash"/>
    <n v="44826"/>
    <n v="4761904762"/>
    <n v="22413"/>
    <n v="67"/>
    <n v="44826"/>
  </r>
  <r>
    <s v="744-09-5786"/>
    <s v="Cairo"/>
    <x v="2"/>
    <s v="Normal"/>
    <x v="1"/>
    <x v="1"/>
    <n v="2201"/>
    <n v="6"/>
    <n v="6603"/>
    <n v="138663"/>
    <x v="0"/>
    <x v="56"/>
    <d v="1899-12-30T18:50:00"/>
    <s v="Cash"/>
    <n v="13206"/>
    <n v="4761904762"/>
    <n v="6603"/>
    <n v="76"/>
    <n v="13206"/>
  </r>
  <r>
    <s v="727-17-0390"/>
    <s v="Alex"/>
    <x v="0"/>
    <s v="Normal"/>
    <x v="0"/>
    <x v="4"/>
    <n v="6361"/>
    <n v="5"/>
    <n v="159025"/>
    <n v="3339525"/>
    <x v="1"/>
    <x v="32"/>
    <d v="1899-12-30T12:43:00"/>
    <s v="Ewallet"/>
    <n v="31805"/>
    <n v="4761904762"/>
    <n v="159025"/>
    <n v="48"/>
    <n v="31805"/>
  </r>
  <r>
    <s v="568-88-3448"/>
    <s v="Alex"/>
    <x v="0"/>
    <s v="Normal"/>
    <x v="1"/>
    <x v="0"/>
    <n v="25"/>
    <n v="1"/>
    <n v="125"/>
    <n v="2625"/>
    <x v="1"/>
    <x v="2"/>
    <d v="1899-12-30T15:09:00"/>
    <s v="Ewallet"/>
    <n v="25"/>
    <n v="4761904762"/>
    <n v="125"/>
    <n v="55"/>
    <n v="25"/>
  </r>
  <r>
    <s v="187-83-5490"/>
    <s v="Alex"/>
    <x v="0"/>
    <s v="Member"/>
    <x v="1"/>
    <x v="1"/>
    <n v="2077"/>
    <n v="4"/>
    <n v="4154"/>
    <n v="87234"/>
    <x v="0"/>
    <x v="82"/>
    <d v="1899-12-30T13:47:00"/>
    <s v="Cash"/>
    <n v="8308"/>
    <n v="4761904762"/>
    <n v="4154"/>
    <n v="47"/>
    <n v="8308"/>
  </r>
  <r>
    <s v="767-54-1907"/>
    <s v="Cairo"/>
    <x v="2"/>
    <s v="Member"/>
    <x v="0"/>
    <x v="5"/>
    <n v="2956"/>
    <n v="5"/>
    <n v="739"/>
    <n v="15519"/>
    <x v="2"/>
    <x v="77"/>
    <d v="1899-12-30T16:59:00"/>
    <s v="Cash"/>
    <n v="1478"/>
    <n v="4761904762"/>
    <n v="739"/>
    <n v="69"/>
    <n v="14780"/>
  </r>
  <r>
    <s v="710-46-4433"/>
    <s v="Cairo"/>
    <x v="2"/>
    <s v="Member"/>
    <x v="0"/>
    <x v="4"/>
    <n v="774"/>
    <n v="9"/>
    <n v="3483"/>
    <n v="73143"/>
    <x v="2"/>
    <x v="42"/>
    <d v="1899-12-30T14:15:00"/>
    <s v="Credit card"/>
    <n v="6966"/>
    <n v="4761904762"/>
    <n v="3483"/>
    <n v="45"/>
    <n v="6966"/>
  </r>
  <r>
    <s v="533-33-5337"/>
    <s v="Cairo"/>
    <x v="2"/>
    <s v="Normal"/>
    <x v="1"/>
    <x v="1"/>
    <n v="7939"/>
    <n v="10"/>
    <n v="39695"/>
    <n v="833595"/>
    <x v="2"/>
    <x v="13"/>
    <d v="1899-12-30T20:24:00"/>
    <s v="Cash"/>
    <n v="7939"/>
    <n v="4761904762"/>
    <n v="39695"/>
    <n v="62"/>
    <n v="79390"/>
  </r>
  <r>
    <s v="325-90-8763"/>
    <s v="Giza"/>
    <x v="1"/>
    <s v="Member"/>
    <x v="0"/>
    <x v="1"/>
    <n v="4657"/>
    <n v="10"/>
    <n v="23285"/>
    <n v="488985"/>
    <x v="0"/>
    <x v="3"/>
    <d v="1899-12-30T13:58:00"/>
    <s v="Cash"/>
    <n v="4657"/>
    <n v="4761904762"/>
    <n v="23285"/>
    <n v="76"/>
    <n v="46570"/>
  </r>
  <r>
    <s v="729-46-7422"/>
    <s v="Giza"/>
    <x v="1"/>
    <s v="Normal"/>
    <x v="1"/>
    <x v="4"/>
    <n v="3589"/>
    <n v="1"/>
    <n v="17945"/>
    <n v="376845"/>
    <x v="2"/>
    <x v="55"/>
    <d v="1899-12-30T16:52:00"/>
    <s v="Credit card"/>
    <n v="3589"/>
    <n v="4761904762"/>
    <n v="17945"/>
    <n v="79"/>
    <n v="3589"/>
  </r>
  <r>
    <s v="639-76-1242"/>
    <s v="Giza"/>
    <x v="1"/>
    <s v="Normal"/>
    <x v="1"/>
    <x v="4"/>
    <n v="4052"/>
    <n v="5"/>
    <n v="1013"/>
    <n v="21273"/>
    <x v="2"/>
    <x v="36"/>
    <d v="1899-12-30T15:19:00"/>
    <s v="Cash"/>
    <n v="2026"/>
    <n v="4761904762"/>
    <n v="1013"/>
    <n v="45"/>
    <n v="20260"/>
  </r>
  <r>
    <s v="234-03-4040"/>
    <s v="Cairo"/>
    <x v="2"/>
    <s v="Member"/>
    <x v="0"/>
    <x v="4"/>
    <n v="7305"/>
    <n v="10"/>
    <n v="36525"/>
    <n v="767025"/>
    <x v="1"/>
    <x v="2"/>
    <d v="1899-12-30T12:25:00"/>
    <s v="Credit card"/>
    <n v="7305"/>
    <n v="4761904762"/>
    <n v="36525"/>
    <n v="87"/>
    <n v="73050"/>
  </r>
  <r>
    <s v="326-71-2155"/>
    <s v="Giza"/>
    <x v="1"/>
    <s v="Normal"/>
    <x v="0"/>
    <x v="3"/>
    <n v="7395"/>
    <n v="4"/>
    <n v="1479"/>
    <n v="31059"/>
    <x v="2"/>
    <x v="36"/>
    <d v="1899-12-30T10:02:00"/>
    <s v="Cash"/>
    <n v="2958"/>
    <n v="4761904762"/>
    <n v="1479"/>
    <n v="61"/>
    <n v="29580"/>
  </r>
  <r>
    <s v="320-32-8842"/>
    <s v="Giza"/>
    <x v="1"/>
    <s v="Member"/>
    <x v="0"/>
    <x v="4"/>
    <n v="2262"/>
    <n v="1"/>
    <n v="1131"/>
    <n v="23751"/>
    <x v="1"/>
    <x v="85"/>
    <d v="1899-12-30T18:58:00"/>
    <s v="Cash"/>
    <n v="2262"/>
    <n v="4761904762"/>
    <n v="1131"/>
    <n v="64"/>
    <n v="2262"/>
  </r>
  <r>
    <s v="470-32-9057"/>
    <s v="Alex"/>
    <x v="0"/>
    <s v="Member"/>
    <x v="1"/>
    <x v="4"/>
    <n v="5134"/>
    <n v="5"/>
    <n v="12835"/>
    <n v="269535"/>
    <x v="1"/>
    <x v="61"/>
    <d v="1899-12-30T15:31:00"/>
    <s v="Credit card"/>
    <n v="2567"/>
    <n v="4761904762"/>
    <n v="12835"/>
    <n v="91"/>
    <n v="25670"/>
  </r>
  <r>
    <s v="878-30-2331"/>
    <s v="Giza"/>
    <x v="1"/>
    <s v="Member"/>
    <x v="0"/>
    <x v="3"/>
    <n v="5455"/>
    <n v="10"/>
    <n v="27275"/>
    <n v="572775"/>
    <x v="1"/>
    <x v="22"/>
    <d v="1899-12-30T11:22:00"/>
    <s v="Credit card"/>
    <n v="5455"/>
    <n v="4761904762"/>
    <n v="27275"/>
    <n v="71"/>
    <n v="54550"/>
  </r>
  <r>
    <s v="440-59-5691"/>
    <s v="Giza"/>
    <x v="1"/>
    <s v="Member"/>
    <x v="0"/>
    <x v="0"/>
    <n v="3715"/>
    <n v="7"/>
    <n v="130025"/>
    <n v="2730525"/>
    <x v="2"/>
    <x v="4"/>
    <d v="1899-12-30T13:12:00"/>
    <s v="Credit card"/>
    <n v="26005"/>
    <n v="4761904762"/>
    <n v="130025"/>
    <n v="77"/>
    <n v="26005"/>
  </r>
  <r>
    <s v="554-53-3790"/>
    <s v="Cairo"/>
    <x v="2"/>
    <s v="Normal"/>
    <x v="1"/>
    <x v="3"/>
    <n v="3702"/>
    <n v="6"/>
    <n v="11106"/>
    <n v="233226"/>
    <x v="1"/>
    <x v="23"/>
    <d v="1899-12-30T18:33:00"/>
    <s v="Cash"/>
    <n v="22212"/>
    <n v="4761904762"/>
    <n v="11106"/>
    <n v="45"/>
    <n v="22212"/>
  </r>
  <r>
    <s v="746-19-0921"/>
    <s v="Giza"/>
    <x v="1"/>
    <s v="Normal"/>
    <x v="1"/>
    <x v="4"/>
    <n v="2158"/>
    <n v="1"/>
    <n v="1079"/>
    <n v="22659"/>
    <x v="2"/>
    <x v="57"/>
    <d v="1899-12-30T10:02:00"/>
    <s v="Ewallet"/>
    <n v="2158"/>
    <n v="4761904762"/>
    <n v="1079"/>
    <n v="72"/>
    <n v="2158"/>
  </r>
  <r>
    <s v="233-34-0817"/>
    <s v="Giza"/>
    <x v="1"/>
    <s v="Member"/>
    <x v="0"/>
    <x v="1"/>
    <n v="9884"/>
    <n v="1"/>
    <n v="4942"/>
    <n v="103782"/>
    <x v="2"/>
    <x v="42"/>
    <d v="1899-12-30T11:21:00"/>
    <s v="Cash"/>
    <n v="9884"/>
    <n v="4761904762"/>
    <n v="4942"/>
    <n v="84"/>
    <n v="9884"/>
  </r>
  <r>
    <s v="767-05-1286"/>
    <s v="Giza"/>
    <x v="1"/>
    <s v="Member"/>
    <x v="0"/>
    <x v="2"/>
    <n v="8377"/>
    <n v="6"/>
    <n v="25131"/>
    <n v="527751"/>
    <x v="0"/>
    <x v="54"/>
    <d v="1899-12-30T12:10:00"/>
    <s v="Ewallet"/>
    <n v="50262"/>
    <n v="4761904762"/>
    <n v="25131"/>
    <n v="54"/>
    <n v="50262"/>
  </r>
  <r>
    <s v="340-21-9136"/>
    <s v="Alex"/>
    <x v="0"/>
    <s v="Member"/>
    <x v="0"/>
    <x v="3"/>
    <n v="4005"/>
    <n v="4"/>
    <n v="801"/>
    <n v="16821"/>
    <x v="0"/>
    <x v="25"/>
    <d v="1899-12-30T11:40:00"/>
    <s v="Cash"/>
    <n v="1602"/>
    <n v="4761904762"/>
    <n v="801"/>
    <n v="97"/>
    <n v="16020"/>
  </r>
  <r>
    <s v="405-31-3305"/>
    <s v="Alex"/>
    <x v="0"/>
    <s v="Member"/>
    <x v="1"/>
    <x v="5"/>
    <n v="4313"/>
    <n v="10"/>
    <n v="21565"/>
    <n v="452865"/>
    <x v="2"/>
    <x v="30"/>
    <d v="1899-12-30T18:31:00"/>
    <s v="Credit card"/>
    <n v="4313"/>
    <n v="4761904762"/>
    <n v="21565"/>
    <n v="55"/>
    <n v="43130"/>
  </r>
  <r>
    <s v="731-59-7531"/>
    <s v="Cairo"/>
    <x v="2"/>
    <s v="Member"/>
    <x v="1"/>
    <x v="0"/>
    <n v="7257"/>
    <n v="8"/>
    <n v="29028"/>
    <n v="609588"/>
    <x v="1"/>
    <x v="73"/>
    <d v="1899-12-30T17:58:00"/>
    <s v="Cash"/>
    <n v="58056"/>
    <n v="4761904762"/>
    <n v="29028"/>
    <n v="46"/>
    <n v="58056"/>
  </r>
  <r>
    <s v="676-39-6028"/>
    <s v="Alex"/>
    <x v="0"/>
    <s v="Member"/>
    <x v="0"/>
    <x v="1"/>
    <n v="6444"/>
    <n v="5"/>
    <n v="1611"/>
    <n v="33831"/>
    <x v="1"/>
    <x v="73"/>
    <d v="1899-12-30T17:04:00"/>
    <s v="Cash"/>
    <n v="3222"/>
    <n v="4761904762"/>
    <n v="1611"/>
    <n v="66"/>
    <n v="32220"/>
  </r>
  <r>
    <s v="502-05-1910"/>
    <s v="Alex"/>
    <x v="0"/>
    <s v="Normal"/>
    <x v="1"/>
    <x v="0"/>
    <n v="6518"/>
    <n v="3"/>
    <n v="9777"/>
    <n v="205317"/>
    <x v="2"/>
    <x v="6"/>
    <d v="1899-12-30T20:35:00"/>
    <s v="Credit card"/>
    <n v="19554"/>
    <n v="4761904762"/>
    <n v="9777"/>
    <n v="63"/>
    <n v="19554"/>
  </r>
  <r>
    <s v="485-30-8700"/>
    <s v="Alex"/>
    <x v="0"/>
    <s v="Normal"/>
    <x v="0"/>
    <x v="3"/>
    <n v="3326"/>
    <n v="5"/>
    <n v="8315"/>
    <n v="174615"/>
    <x v="1"/>
    <x v="79"/>
    <d v="1899-12-30T16:10:00"/>
    <s v="Credit card"/>
    <n v="1663"/>
    <n v="4761904762"/>
    <n v="8315"/>
    <n v="42"/>
    <n v="16630"/>
  </r>
  <r>
    <s v="598-47-9715"/>
    <s v="Giza"/>
    <x v="1"/>
    <s v="Normal"/>
    <x v="1"/>
    <x v="1"/>
    <n v="8407"/>
    <n v="4"/>
    <n v="16814"/>
    <n v="353094"/>
    <x v="1"/>
    <x v="37"/>
    <d v="1899-12-30T16:54:00"/>
    <s v="Ewallet"/>
    <n v="33628"/>
    <n v="4761904762"/>
    <n v="16814"/>
    <n v="44"/>
    <n v="33628"/>
  </r>
  <r>
    <s v="701-69-8742"/>
    <s v="Cairo"/>
    <x v="2"/>
    <s v="Normal"/>
    <x v="1"/>
    <x v="3"/>
    <n v="3437"/>
    <n v="10"/>
    <n v="17185"/>
    <n v="360885"/>
    <x v="1"/>
    <x v="32"/>
    <d v="1899-12-30T10:11:00"/>
    <s v="Ewallet"/>
    <n v="3437"/>
    <n v="4761904762"/>
    <n v="17185"/>
    <n v="67"/>
    <n v="34370"/>
  </r>
  <r>
    <s v="575-67-1508"/>
    <s v="Alex"/>
    <x v="0"/>
    <s v="Normal"/>
    <x v="1"/>
    <x v="1"/>
    <n v="386"/>
    <n v="1"/>
    <n v="193"/>
    <n v="4053"/>
    <x v="0"/>
    <x v="71"/>
    <d v="1899-12-30T11:26:00"/>
    <s v="Ewallet"/>
    <n v="386"/>
    <n v="4761904762"/>
    <n v="193"/>
    <n v="67"/>
    <n v="386"/>
  </r>
  <r>
    <s v="541-08-3113"/>
    <s v="Giza"/>
    <x v="1"/>
    <s v="Normal"/>
    <x v="1"/>
    <x v="4"/>
    <n v="6597"/>
    <n v="8"/>
    <n v="26388"/>
    <n v="554148"/>
    <x v="2"/>
    <x v="30"/>
    <d v="1899-12-30T20:29:00"/>
    <s v="Cash"/>
    <n v="52776"/>
    <n v="4761904762"/>
    <n v="26388"/>
    <n v="84"/>
    <n v="52776"/>
  </r>
  <r>
    <s v="246-11-3901"/>
    <s v="Giza"/>
    <x v="1"/>
    <s v="Normal"/>
    <x v="0"/>
    <x v="1"/>
    <n v="328"/>
    <n v="10"/>
    <n v="164"/>
    <n v="3444"/>
    <x v="2"/>
    <x v="42"/>
    <d v="1899-12-30T12:12:00"/>
    <s v="Cash"/>
    <n v="328"/>
    <n v="4761904762"/>
    <n v="164"/>
    <n v="62"/>
    <n v="3280"/>
  </r>
  <r>
    <s v="674-15-9296"/>
    <s v="Alex"/>
    <x v="0"/>
    <s v="Normal"/>
    <x v="1"/>
    <x v="3"/>
    <n v="3714"/>
    <n v="5"/>
    <n v="9285"/>
    <n v="194985"/>
    <x v="0"/>
    <x v="66"/>
    <d v="1899-12-30T13:05:00"/>
    <s v="Ewallet"/>
    <n v="1857"/>
    <n v="4761904762"/>
    <n v="9285"/>
    <n v="5"/>
    <n v="18570"/>
  </r>
  <r>
    <s v="305-18-3552"/>
    <s v="Cairo"/>
    <x v="2"/>
    <s v="Member"/>
    <x v="1"/>
    <x v="2"/>
    <n v="6038"/>
    <n v="10"/>
    <n v="3019"/>
    <n v="63399"/>
    <x v="2"/>
    <x v="12"/>
    <d v="1899-12-30T16:19:00"/>
    <s v="Cash"/>
    <n v="6038"/>
    <n v="4761904762"/>
    <n v="3019"/>
    <n v="6"/>
    <n v="60380"/>
  </r>
  <r>
    <s v="493-65-6248"/>
    <s v="Giza"/>
    <x v="1"/>
    <s v="Member"/>
    <x v="0"/>
    <x v="3"/>
    <n v="3698"/>
    <n v="10"/>
    <n v="1849"/>
    <n v="38829"/>
    <x v="0"/>
    <x v="17"/>
    <d v="1899-12-30T19:48:00"/>
    <s v="Credit card"/>
    <n v="3698"/>
    <n v="4761904762"/>
    <n v="1849"/>
    <n v="7"/>
    <n v="36980"/>
  </r>
  <r>
    <s v="438-01-4015"/>
    <s v="Cairo"/>
    <x v="2"/>
    <s v="Member"/>
    <x v="0"/>
    <x v="3"/>
    <n v="4949"/>
    <n v="4"/>
    <n v="9898"/>
    <n v="207858"/>
    <x v="1"/>
    <x v="76"/>
    <d v="1899-12-30T15:25:00"/>
    <s v="Ewallet"/>
    <n v="19796"/>
    <n v="4761904762"/>
    <n v="9898"/>
    <n v="66"/>
    <n v="19796"/>
  </r>
  <r>
    <s v="709-58-4068"/>
    <s v="Cairo"/>
    <x v="2"/>
    <s v="Normal"/>
    <x v="0"/>
    <x v="5"/>
    <n v="4109"/>
    <n v="10"/>
    <n v="20545"/>
    <n v="431445"/>
    <x v="2"/>
    <x v="38"/>
    <d v="1899-12-30T14:42:00"/>
    <s v="Cash"/>
    <n v="4109"/>
    <n v="4761904762"/>
    <n v="20545"/>
    <n v="73"/>
    <n v="41090"/>
  </r>
  <r>
    <s v="795-49-7276"/>
    <s v="Alex"/>
    <x v="0"/>
    <s v="Normal"/>
    <x v="1"/>
    <x v="5"/>
    <n v="3715"/>
    <n v="4"/>
    <n v="743"/>
    <n v="15603"/>
    <x v="1"/>
    <x v="28"/>
    <d v="1899-12-30T18:59:00"/>
    <s v="Ewallet"/>
    <n v="1486"/>
    <n v="4761904762"/>
    <n v="743"/>
    <n v="83"/>
    <n v="14860"/>
  </r>
  <r>
    <s v="556-72-8512"/>
    <s v="Giza"/>
    <x v="1"/>
    <s v="Normal"/>
    <x v="1"/>
    <x v="2"/>
    <n v="2296"/>
    <n v="1"/>
    <n v="1148"/>
    <n v="24108"/>
    <x v="0"/>
    <x v="74"/>
    <d v="1899-12-30T20:47:00"/>
    <s v="Cash"/>
    <n v="2296"/>
    <n v="4761904762"/>
    <n v="1148"/>
    <n v="43"/>
    <n v="2296"/>
  </r>
  <r>
    <s v="627-95-3243"/>
    <s v="Cairo"/>
    <x v="2"/>
    <s v="Member"/>
    <x v="0"/>
    <x v="2"/>
    <n v="7768"/>
    <n v="9"/>
    <n v="34956"/>
    <n v="734076"/>
    <x v="2"/>
    <x v="87"/>
    <d v="1899-12-30T13:21:00"/>
    <s v="Ewallet"/>
    <n v="69912"/>
    <n v="4761904762"/>
    <n v="34956"/>
    <n v="98"/>
    <n v="69912"/>
  </r>
  <r>
    <s v="686-41-0932"/>
    <s v="Cairo"/>
    <x v="2"/>
    <s v="Normal"/>
    <x v="0"/>
    <x v="5"/>
    <n v="347"/>
    <n v="2"/>
    <n v="347"/>
    <n v="7287"/>
    <x v="1"/>
    <x v="45"/>
    <d v="1899-12-30T19:48:00"/>
    <s v="Ewallet"/>
    <n v="694"/>
    <n v="4761904762"/>
    <n v="347"/>
    <n v="82"/>
    <n v="694"/>
  </r>
  <r>
    <s v="510-09-5628"/>
    <s v="Alex"/>
    <x v="0"/>
    <s v="Member"/>
    <x v="0"/>
    <x v="5"/>
    <n v="1966"/>
    <n v="10"/>
    <n v="983"/>
    <n v="20643"/>
    <x v="1"/>
    <x v="20"/>
    <d v="1899-12-30T18:20:00"/>
    <s v="Credit card"/>
    <n v="1966"/>
    <n v="4761904762"/>
    <n v="983"/>
    <n v="72"/>
    <n v="19660"/>
  </r>
  <r>
    <s v="608-04-3797"/>
    <s v="Cairo"/>
    <x v="2"/>
    <s v="Member"/>
    <x v="0"/>
    <x v="0"/>
    <n v="2532"/>
    <n v="8"/>
    <n v="10128"/>
    <n v="212688"/>
    <x v="1"/>
    <x v="19"/>
    <d v="1899-12-30T20:24:00"/>
    <s v="Ewallet"/>
    <n v="20256"/>
    <n v="4761904762"/>
    <n v="10128"/>
    <n v="87"/>
    <n v="20256"/>
  </r>
  <r>
    <s v="148-82-2527"/>
    <s v="Giza"/>
    <x v="1"/>
    <s v="Member"/>
    <x v="0"/>
    <x v="2"/>
    <n v="1212"/>
    <n v="10"/>
    <n v="606"/>
    <n v="12726"/>
    <x v="1"/>
    <x v="19"/>
    <d v="1899-12-30T13:44:00"/>
    <s v="Credit card"/>
    <n v="1212"/>
    <n v="4761904762"/>
    <n v="606"/>
    <n v="84"/>
    <n v="12120"/>
  </r>
  <r>
    <s v="437-53-3084"/>
    <s v="Cairo"/>
    <x v="2"/>
    <s v="Normal"/>
    <x v="1"/>
    <x v="5"/>
    <n v="9989"/>
    <n v="2"/>
    <n v="9989"/>
    <n v="209769"/>
    <x v="2"/>
    <x v="84"/>
    <d v="1899-12-30T11:48:00"/>
    <s v="Ewallet"/>
    <n v="19978"/>
    <n v="4761904762"/>
    <n v="9989"/>
    <n v="71"/>
    <n v="19978"/>
  </r>
  <r>
    <s v="632-32-4574"/>
    <s v="Cairo"/>
    <x v="2"/>
    <s v="Normal"/>
    <x v="1"/>
    <x v="3"/>
    <n v="7592"/>
    <n v="8"/>
    <n v="30368"/>
    <n v="637728"/>
    <x v="1"/>
    <x v="80"/>
    <d v="1899-12-30T14:14:00"/>
    <s v="Cash"/>
    <n v="60736"/>
    <n v="4761904762"/>
    <n v="30368"/>
    <n v="55"/>
    <n v="60736"/>
  </r>
  <r>
    <s v="556-97-7101"/>
    <s v="Giza"/>
    <x v="1"/>
    <s v="Normal"/>
    <x v="0"/>
    <x v="1"/>
    <n v="6322"/>
    <n v="2"/>
    <n v="6322"/>
    <n v="132762"/>
    <x v="0"/>
    <x v="17"/>
    <d v="1899-12-30T15:51:00"/>
    <s v="Cash"/>
    <n v="12644"/>
    <n v="4761904762"/>
    <n v="6322"/>
    <n v="85"/>
    <n v="12644"/>
  </r>
  <r>
    <s v="862-59-8517"/>
    <s v="Giza"/>
    <x v="1"/>
    <s v="Normal"/>
    <x v="0"/>
    <x v="4"/>
    <n v="9024"/>
    <n v="6"/>
    <n v="27072"/>
    <n v="568512"/>
    <x v="0"/>
    <x v="3"/>
    <d v="1899-12-30T11:17:00"/>
    <s v="Cash"/>
    <n v="54144"/>
    <n v="4761904762"/>
    <n v="27072"/>
    <n v="62"/>
    <n v="54144"/>
  </r>
  <r>
    <s v="401-18-8016"/>
    <s v="Cairo"/>
    <x v="2"/>
    <s v="Member"/>
    <x v="0"/>
    <x v="3"/>
    <n v="9813"/>
    <n v="1"/>
    <n v="49065"/>
    <n v="1030365"/>
    <x v="0"/>
    <x v="18"/>
    <d v="1899-12-30T17:36:00"/>
    <s v="Cash"/>
    <n v="9813"/>
    <n v="4761904762"/>
    <n v="49065"/>
    <n v="89"/>
    <n v="9813"/>
  </r>
  <r>
    <s v="420-18-8989"/>
    <s v="Alex"/>
    <x v="0"/>
    <s v="Member"/>
    <x v="0"/>
    <x v="3"/>
    <n v="5152"/>
    <n v="8"/>
    <n v="20608"/>
    <n v="432768"/>
    <x v="2"/>
    <x v="30"/>
    <d v="1899-12-30T15:47:00"/>
    <s v="Cash"/>
    <n v="41216"/>
    <n v="4761904762"/>
    <n v="20608"/>
    <n v="96"/>
    <n v="41216"/>
  </r>
  <r>
    <s v="277-63-2961"/>
    <s v="Cairo"/>
    <x v="2"/>
    <s v="Member"/>
    <x v="1"/>
    <x v="3"/>
    <n v="7397"/>
    <n v="1"/>
    <n v="36985"/>
    <n v="776685"/>
    <x v="2"/>
    <x v="36"/>
    <d v="1899-12-30T15:53:00"/>
    <s v="Credit card"/>
    <n v="7397"/>
    <n v="4761904762"/>
    <n v="36985"/>
    <n v="54"/>
    <n v="7397"/>
  </r>
  <r>
    <s v="573-98-8548"/>
    <s v="Giza"/>
    <x v="1"/>
    <s v="Member"/>
    <x v="0"/>
    <x v="5"/>
    <n v="319"/>
    <n v="1"/>
    <n v="1595"/>
    <n v="33495"/>
    <x v="0"/>
    <x v="0"/>
    <d v="1899-12-30T12:40:00"/>
    <s v="Ewallet"/>
    <n v="319"/>
    <n v="4761904762"/>
    <n v="1595"/>
    <n v="91"/>
    <n v="319"/>
  </r>
  <r>
    <s v="620-02-2046"/>
    <s v="Giza"/>
    <x v="1"/>
    <s v="Normal"/>
    <x v="1"/>
    <x v="2"/>
    <n v="694"/>
    <n v="2"/>
    <n v="694"/>
    <n v="14574"/>
    <x v="0"/>
    <x v="3"/>
    <d v="1899-12-30T19:48:00"/>
    <s v="Ewallet"/>
    <n v="1388"/>
    <n v="4761904762"/>
    <n v="694"/>
    <n v="9"/>
    <n v="1388"/>
  </r>
  <r>
    <s v="282-35-2475"/>
    <s v="Cairo"/>
    <x v="2"/>
    <s v="Normal"/>
    <x v="0"/>
    <x v="3"/>
    <n v="9331"/>
    <n v="2"/>
    <n v="9331"/>
    <n v="195951"/>
    <x v="1"/>
    <x v="5"/>
    <d v="1899-12-30T17:53:00"/>
    <s v="Cash"/>
    <n v="18662"/>
    <n v="4761904762"/>
    <n v="9331"/>
    <n v="63"/>
    <n v="18662"/>
  </r>
  <r>
    <s v="511-54-3087"/>
    <s v="Cairo"/>
    <x v="2"/>
    <s v="Normal"/>
    <x v="1"/>
    <x v="3"/>
    <n v="8845"/>
    <n v="1"/>
    <n v="44225"/>
    <n v="928725"/>
    <x v="2"/>
    <x v="6"/>
    <d v="1899-12-30T16:36:00"/>
    <s v="Credit card"/>
    <n v="8845"/>
    <n v="4761904762"/>
    <n v="44225"/>
    <n v="95"/>
    <n v="8845"/>
  </r>
  <r>
    <s v="726-29-6793"/>
    <s v="Alex"/>
    <x v="0"/>
    <s v="Member"/>
    <x v="1"/>
    <x v="1"/>
    <n v="2418"/>
    <n v="8"/>
    <n v="9672"/>
    <n v="203112"/>
    <x v="0"/>
    <x v="26"/>
    <d v="1899-12-30T20:54:00"/>
    <s v="Ewallet"/>
    <n v="19344"/>
    <n v="4761904762"/>
    <n v="9672"/>
    <n v="98"/>
    <n v="19344"/>
  </r>
  <r>
    <s v="387-49-4215"/>
    <s v="Cairo"/>
    <x v="2"/>
    <s v="Member"/>
    <x v="0"/>
    <x v="3"/>
    <n v="485"/>
    <n v="3"/>
    <n v="7275"/>
    <n v="152775"/>
    <x v="0"/>
    <x v="66"/>
    <d v="1899-12-30T12:50:00"/>
    <s v="Cash"/>
    <n v="1455"/>
    <n v="4761904762"/>
    <n v="7275"/>
    <n v="67"/>
    <n v="1455"/>
  </r>
  <r>
    <s v="862-17-9201"/>
    <s v="Cairo"/>
    <x v="2"/>
    <s v="Normal"/>
    <x v="0"/>
    <x v="4"/>
    <n v="8405"/>
    <n v="6"/>
    <n v="25215"/>
    <n v="529515"/>
    <x v="0"/>
    <x v="71"/>
    <d v="1899-12-30T10:48:00"/>
    <s v="Credit card"/>
    <n v="5043"/>
    <n v="4761904762"/>
    <n v="25215"/>
    <n v="77"/>
    <n v="50430"/>
  </r>
  <r>
    <s v="291-21-5991"/>
    <s v="Cairo"/>
    <x v="2"/>
    <s v="Member"/>
    <x v="1"/>
    <x v="0"/>
    <n v="6129"/>
    <n v="5"/>
    <n v="153225"/>
    <n v="3217725"/>
    <x v="1"/>
    <x v="14"/>
    <d v="1899-12-30T14:28:00"/>
    <s v="Cash"/>
    <n v="30645"/>
    <n v="4761904762"/>
    <n v="153225"/>
    <n v="7"/>
    <n v="30645"/>
  </r>
  <r>
    <s v="602-80-9671"/>
    <s v="Giza"/>
    <x v="1"/>
    <s v="Member"/>
    <x v="0"/>
    <x v="2"/>
    <n v="1595"/>
    <n v="6"/>
    <n v="4785"/>
    <n v="100485"/>
    <x v="2"/>
    <x v="57"/>
    <d v="1899-12-30T17:15:00"/>
    <s v="Credit card"/>
    <n v="957"/>
    <n v="4761904762"/>
    <n v="4785"/>
    <n v="51"/>
    <n v="9570"/>
  </r>
  <r>
    <s v="347-72-6115"/>
    <s v="Cairo"/>
    <x v="2"/>
    <s v="Member"/>
    <x v="0"/>
    <x v="3"/>
    <n v="9074"/>
    <n v="7"/>
    <n v="31759"/>
    <n v="666939"/>
    <x v="0"/>
    <x v="65"/>
    <d v="1899-12-30T18:03:00"/>
    <s v="Credit card"/>
    <n v="63518"/>
    <n v="4761904762"/>
    <n v="31759"/>
    <n v="62"/>
    <n v="63518"/>
  </r>
  <r>
    <s v="209-61-0206"/>
    <s v="Alex"/>
    <x v="0"/>
    <s v="Normal"/>
    <x v="0"/>
    <x v="2"/>
    <n v="4291"/>
    <n v="5"/>
    <n v="107275"/>
    <n v="2252775"/>
    <x v="0"/>
    <x v="0"/>
    <d v="1899-12-30T17:29:00"/>
    <s v="Ewallet"/>
    <n v="21455"/>
    <n v="4761904762"/>
    <n v="107275"/>
    <n v="61"/>
    <n v="21455"/>
  </r>
  <r>
    <s v="595-27-4851"/>
    <s v="Alex"/>
    <x v="0"/>
    <s v="Normal"/>
    <x v="0"/>
    <x v="5"/>
    <n v="5428"/>
    <n v="7"/>
    <n v="18998"/>
    <n v="398958"/>
    <x v="0"/>
    <x v="3"/>
    <d v="1899-12-30T18:05:00"/>
    <s v="Ewallet"/>
    <n v="37996"/>
    <n v="4761904762"/>
    <n v="18998"/>
    <n v="93"/>
    <n v="37996"/>
  </r>
  <r>
    <s v="189-52-0236"/>
    <s v="Alex"/>
    <x v="0"/>
    <s v="Normal"/>
    <x v="1"/>
    <x v="1"/>
    <n v="9955"/>
    <n v="7"/>
    <n v="348425"/>
    <n v="7316925"/>
    <x v="1"/>
    <x v="86"/>
    <d v="1899-12-30T12:07:00"/>
    <s v="Cash"/>
    <n v="69685"/>
    <n v="4761904762"/>
    <n v="348425"/>
    <n v="76"/>
    <n v="69685"/>
  </r>
  <r>
    <s v="503-07-0930"/>
    <s v="Giza"/>
    <x v="1"/>
    <s v="Member"/>
    <x v="1"/>
    <x v="3"/>
    <n v="5839"/>
    <n v="7"/>
    <n v="204365"/>
    <n v="4291665"/>
    <x v="2"/>
    <x v="55"/>
    <d v="1899-12-30T19:49:00"/>
    <s v="Credit card"/>
    <n v="40873"/>
    <n v="4761904762"/>
    <n v="204365"/>
    <n v="82"/>
    <n v="40873"/>
  </r>
  <r>
    <s v="413-20-6708"/>
    <s v="Giza"/>
    <x v="1"/>
    <s v="Member"/>
    <x v="0"/>
    <x v="5"/>
    <n v="5147"/>
    <n v="1"/>
    <n v="25735"/>
    <n v="540435"/>
    <x v="1"/>
    <x v="79"/>
    <d v="1899-12-30T15:52:00"/>
    <s v="Ewallet"/>
    <n v="5147"/>
    <n v="4761904762"/>
    <n v="25735"/>
    <n v="85"/>
    <n v="5147"/>
  </r>
  <r>
    <s v="425-85-2085"/>
    <s v="Cairo"/>
    <x v="2"/>
    <s v="Member"/>
    <x v="1"/>
    <x v="0"/>
    <n v="5486"/>
    <n v="5"/>
    <n v="13715"/>
    <n v="288015"/>
    <x v="1"/>
    <x v="14"/>
    <d v="1899-12-30T16:48:00"/>
    <s v="Ewallet"/>
    <n v="2743"/>
    <n v="4761904762"/>
    <n v="13715"/>
    <n v="98"/>
    <n v="27430"/>
  </r>
  <r>
    <s v="521-18-7827"/>
    <s v="Giza"/>
    <x v="1"/>
    <s v="Member"/>
    <x v="1"/>
    <x v="2"/>
    <n v="3939"/>
    <n v="5"/>
    <n v="98475"/>
    <n v="2067975"/>
    <x v="0"/>
    <x v="49"/>
    <d v="1899-12-30T20:46:00"/>
    <s v="Credit card"/>
    <n v="19695"/>
    <n v="4761904762"/>
    <n v="98475"/>
    <n v="87"/>
    <n v="19695"/>
  </r>
  <r>
    <s v="220-28-1851"/>
    <s v="Alex"/>
    <x v="0"/>
    <s v="Normal"/>
    <x v="1"/>
    <x v="2"/>
    <n v="3473"/>
    <n v="2"/>
    <n v="3473"/>
    <n v="72933"/>
    <x v="1"/>
    <x v="59"/>
    <d v="1899-12-30T18:14:00"/>
    <s v="Ewallet"/>
    <n v="6946"/>
    <n v="4761904762"/>
    <n v="3473"/>
    <n v="97"/>
    <n v="6946"/>
  </r>
  <r>
    <s v="600-38-9738"/>
    <s v="Giza"/>
    <x v="1"/>
    <s v="Member"/>
    <x v="1"/>
    <x v="3"/>
    <n v="7192"/>
    <n v="5"/>
    <n v="1798"/>
    <n v="37758"/>
    <x v="0"/>
    <x v="29"/>
    <d v="1899-12-30T15:05:00"/>
    <s v="Credit card"/>
    <n v="3596"/>
    <n v="4761904762"/>
    <n v="1798"/>
    <n v="43"/>
    <n v="35960"/>
  </r>
  <r>
    <s v="734-91-1155"/>
    <s v="Cairo"/>
    <x v="2"/>
    <s v="Normal"/>
    <x v="0"/>
    <x v="1"/>
    <n v="4571"/>
    <n v="3"/>
    <n v="68565"/>
    <n v="1439865"/>
    <x v="1"/>
    <x v="58"/>
    <d v="1899-12-30T10:34:00"/>
    <s v="Credit card"/>
    <n v="13713"/>
    <n v="4761904762"/>
    <n v="68565"/>
    <n v="77"/>
    <n v="13713"/>
  </r>
  <r>
    <s v="451-28-5717"/>
    <s v="Giza"/>
    <x v="1"/>
    <s v="Member"/>
    <x v="0"/>
    <x v="2"/>
    <n v="8317"/>
    <n v="6"/>
    <n v="24951"/>
    <n v="523971"/>
    <x v="1"/>
    <x v="80"/>
    <d v="1899-12-30T11:23:00"/>
    <s v="Cash"/>
    <n v="49902"/>
    <n v="4761904762"/>
    <n v="24951"/>
    <n v="73"/>
    <n v="49902"/>
  </r>
  <r>
    <s v="609-81-8548"/>
    <s v="Alex"/>
    <x v="0"/>
    <s v="Member"/>
    <x v="0"/>
    <x v="2"/>
    <n v="3744"/>
    <n v="6"/>
    <n v="11232"/>
    <n v="235872"/>
    <x v="2"/>
    <x v="10"/>
    <d v="1899-12-30T13:55:00"/>
    <s v="Credit card"/>
    <n v="22464"/>
    <n v="4761904762"/>
    <n v="11232"/>
    <n v="59"/>
    <n v="22464"/>
  </r>
  <r>
    <s v="133-14-7229"/>
    <s v="Giza"/>
    <x v="1"/>
    <s v="Normal"/>
    <x v="1"/>
    <x v="0"/>
    <n v="6287"/>
    <n v="2"/>
    <n v="6287"/>
    <n v="132027"/>
    <x v="0"/>
    <x v="17"/>
    <d v="1899-12-30T11:43:00"/>
    <s v="Cash"/>
    <n v="12574"/>
    <n v="4761904762"/>
    <n v="6287"/>
    <n v="5"/>
    <n v="12574"/>
  </r>
  <r>
    <s v="534-01-4457"/>
    <s v="Alex"/>
    <x v="0"/>
    <s v="Normal"/>
    <x v="1"/>
    <x v="4"/>
    <n v="8171"/>
    <n v="6"/>
    <n v="24513"/>
    <n v="514773"/>
    <x v="0"/>
    <x v="3"/>
    <d v="1899-12-30T14:36:00"/>
    <s v="Credit card"/>
    <n v="49026"/>
    <n v="4761904762"/>
    <n v="24513"/>
    <n v="8"/>
    <n v="49026"/>
  </r>
  <r>
    <s v="719-89-8991"/>
    <s v="Alex"/>
    <x v="0"/>
    <s v="Member"/>
    <x v="0"/>
    <x v="3"/>
    <n v="9141"/>
    <n v="5"/>
    <n v="228525"/>
    <n v="4799025"/>
    <x v="2"/>
    <x v="6"/>
    <d v="1899-12-30T16:03:00"/>
    <s v="Ewallet"/>
    <n v="45705"/>
    <n v="4761904762"/>
    <n v="228525"/>
    <n v="71"/>
    <n v="45705"/>
  </r>
  <r>
    <s v="286-62-6248"/>
    <s v="Cairo"/>
    <x v="2"/>
    <s v="Normal"/>
    <x v="1"/>
    <x v="5"/>
    <n v="3921"/>
    <n v="4"/>
    <n v="7842"/>
    <n v="164682"/>
    <x v="0"/>
    <x v="65"/>
    <d v="1899-12-30T20:03:00"/>
    <s v="Credit card"/>
    <n v="15684"/>
    <n v="4761904762"/>
    <n v="7842"/>
    <n v="9"/>
    <n v="15684"/>
  </r>
  <r>
    <s v="339-38-9982"/>
    <s v="Cairo"/>
    <x v="2"/>
    <s v="Member"/>
    <x v="1"/>
    <x v="5"/>
    <n v="5986"/>
    <n v="2"/>
    <n v="5986"/>
    <n v="125706"/>
    <x v="0"/>
    <x v="50"/>
    <d v="1899-12-30T14:55:00"/>
    <s v="Ewallet"/>
    <n v="11972"/>
    <n v="4761904762"/>
    <n v="5986"/>
    <n v="67"/>
    <n v="11972"/>
  </r>
  <r>
    <s v="827-44-5872"/>
    <s v="Cairo"/>
    <x v="2"/>
    <s v="Member"/>
    <x v="0"/>
    <x v="4"/>
    <n v="5436"/>
    <n v="10"/>
    <n v="2718"/>
    <n v="57078"/>
    <x v="2"/>
    <x v="13"/>
    <d v="1899-12-30T11:28:00"/>
    <s v="Credit card"/>
    <n v="5436"/>
    <n v="4761904762"/>
    <n v="2718"/>
    <n v="61"/>
    <n v="54360"/>
  </r>
  <r>
    <s v="827-77-7633"/>
    <s v="Alex"/>
    <x v="0"/>
    <s v="Normal"/>
    <x v="1"/>
    <x v="3"/>
    <n v="9809"/>
    <n v="9"/>
    <n v="441405"/>
    <n v="9269505"/>
    <x v="2"/>
    <x v="21"/>
    <d v="1899-12-30T19:41:00"/>
    <s v="Cash"/>
    <n v="88281"/>
    <n v="4761904762"/>
    <n v="441405"/>
    <n v="93"/>
    <n v="88281"/>
  </r>
  <r>
    <s v="287-83-1405"/>
    <s v="Alex"/>
    <x v="0"/>
    <s v="Normal"/>
    <x v="1"/>
    <x v="0"/>
    <n v="2543"/>
    <n v="6"/>
    <n v="7629"/>
    <n v="160209"/>
    <x v="2"/>
    <x v="12"/>
    <d v="1899-12-30T19:01:00"/>
    <s v="Ewallet"/>
    <n v="15258"/>
    <n v="4761904762"/>
    <n v="7629"/>
    <n v="7"/>
    <n v="15258"/>
  </r>
  <r>
    <s v="435-13-4908"/>
    <s v="Alex"/>
    <x v="0"/>
    <s v="Member"/>
    <x v="1"/>
    <x v="5"/>
    <n v="8668"/>
    <n v="8"/>
    <n v="34672"/>
    <n v="728112"/>
    <x v="0"/>
    <x v="46"/>
    <d v="1899-12-30T18:04:00"/>
    <s v="Credit card"/>
    <n v="69344"/>
    <n v="4761904762"/>
    <n v="34672"/>
    <n v="72"/>
    <n v="69344"/>
  </r>
  <r>
    <s v="857-67-9057"/>
    <s v="Cairo"/>
    <x v="2"/>
    <s v="Normal"/>
    <x v="1"/>
    <x v="1"/>
    <n v="2295"/>
    <n v="10"/>
    <n v="11475"/>
    <n v="240975"/>
    <x v="2"/>
    <x v="10"/>
    <d v="1899-12-30T19:20:00"/>
    <s v="Ewallet"/>
    <n v="2295"/>
    <n v="4761904762"/>
    <n v="11475"/>
    <n v="82"/>
    <n v="22950"/>
  </r>
  <r>
    <s v="236-27-1144"/>
    <s v="Giza"/>
    <x v="1"/>
    <s v="Normal"/>
    <x v="0"/>
    <x v="4"/>
    <n v="1631"/>
    <n v="9"/>
    <n v="73395"/>
    <n v="1541295"/>
    <x v="1"/>
    <x v="58"/>
    <d v="1899-12-30T10:31:00"/>
    <s v="Ewallet"/>
    <n v="14679"/>
    <n v="4761904762"/>
    <n v="73395"/>
    <n v="84"/>
    <n v="14679"/>
  </r>
  <r>
    <s v="892-05-6689"/>
    <s v="Alex"/>
    <x v="0"/>
    <s v="Normal"/>
    <x v="0"/>
    <x v="2"/>
    <n v="2832"/>
    <n v="5"/>
    <n v="708"/>
    <n v="14868"/>
    <x v="1"/>
    <x v="16"/>
    <d v="1899-12-30T13:28:00"/>
    <s v="Ewallet"/>
    <n v="1416"/>
    <n v="4761904762"/>
    <n v="708"/>
    <n v="62"/>
    <n v="14160"/>
  </r>
  <r>
    <s v="583-41-4548"/>
    <s v="Giza"/>
    <x v="1"/>
    <s v="Normal"/>
    <x v="1"/>
    <x v="2"/>
    <n v="1667"/>
    <n v="7"/>
    <n v="58345"/>
    <n v="1225245"/>
    <x v="2"/>
    <x v="13"/>
    <d v="1899-12-30T11:36:00"/>
    <s v="Ewallet"/>
    <n v="11669"/>
    <n v="4761904762"/>
    <n v="58345"/>
    <n v="74"/>
    <n v="11669"/>
  </r>
  <r>
    <s v="339-12-4827"/>
    <s v="Cairo"/>
    <x v="2"/>
    <s v="Member"/>
    <x v="0"/>
    <x v="5"/>
    <n v="7396"/>
    <n v="1"/>
    <n v="3698"/>
    <n v="77658"/>
    <x v="0"/>
    <x v="0"/>
    <d v="1899-12-30T11:32:00"/>
    <s v="Credit card"/>
    <n v="7396"/>
    <n v="4761904762"/>
    <n v="3698"/>
    <n v="5"/>
    <n v="7396"/>
  </r>
  <r>
    <s v="643-38-7867"/>
    <s v="Alex"/>
    <x v="0"/>
    <s v="Normal"/>
    <x v="1"/>
    <x v="2"/>
    <n v="9794"/>
    <n v="1"/>
    <n v="4897"/>
    <n v="102837"/>
    <x v="1"/>
    <x v="37"/>
    <d v="1899-12-30T11:44:00"/>
    <s v="Ewallet"/>
    <n v="9794"/>
    <n v="4761904762"/>
    <n v="4897"/>
    <n v="69"/>
    <n v="9794"/>
  </r>
  <r>
    <s v="308-81-0538"/>
    <s v="Alex"/>
    <x v="0"/>
    <s v="Normal"/>
    <x v="0"/>
    <x v="5"/>
    <n v="7305"/>
    <n v="4"/>
    <n v="1461"/>
    <n v="30681"/>
    <x v="2"/>
    <x v="6"/>
    <d v="1899-12-30T17:16:00"/>
    <s v="Credit card"/>
    <n v="2922"/>
    <n v="4761904762"/>
    <n v="1461"/>
    <n v="49"/>
    <n v="29220"/>
  </r>
  <r>
    <s v="358-88-9262"/>
    <s v="Giza"/>
    <x v="1"/>
    <s v="Member"/>
    <x v="0"/>
    <x v="4"/>
    <n v="8748"/>
    <n v="6"/>
    <n v="26244"/>
    <n v="551124"/>
    <x v="2"/>
    <x v="60"/>
    <d v="1899-12-30T18:43:00"/>
    <s v="Ewallet"/>
    <n v="52488"/>
    <n v="4761904762"/>
    <n v="26244"/>
    <n v="51"/>
    <n v="52488"/>
  </r>
  <r>
    <s v="460-35-4390"/>
    <s v="Alex"/>
    <x v="0"/>
    <s v="Normal"/>
    <x v="1"/>
    <x v="2"/>
    <n v="3068"/>
    <n v="3"/>
    <n v="4602"/>
    <n v="96642"/>
    <x v="0"/>
    <x v="49"/>
    <d v="1899-12-30T11:00:00"/>
    <s v="Ewallet"/>
    <n v="9204"/>
    <n v="4761904762"/>
    <n v="4602"/>
    <n v="91"/>
    <n v="9204"/>
  </r>
  <r>
    <s v="343-87-0864"/>
    <s v="Giza"/>
    <x v="1"/>
    <s v="Member"/>
    <x v="1"/>
    <x v="0"/>
    <n v="7588"/>
    <n v="1"/>
    <n v="3794"/>
    <n v="79674"/>
    <x v="0"/>
    <x v="75"/>
    <d v="1899-12-30T10:30:00"/>
    <s v="Credit card"/>
    <n v="7588"/>
    <n v="4761904762"/>
    <n v="3794"/>
    <n v="71"/>
    <n v="7588"/>
  </r>
  <r>
    <s v="173-50-1108"/>
    <s v="Cairo"/>
    <x v="2"/>
    <s v="Member"/>
    <x v="0"/>
    <x v="3"/>
    <n v="2018"/>
    <n v="4"/>
    <n v="4036"/>
    <n v="84756"/>
    <x v="2"/>
    <x v="77"/>
    <d v="1899-12-30T12:14:00"/>
    <s v="Credit card"/>
    <n v="8072"/>
    <n v="4761904762"/>
    <n v="4036"/>
    <n v="5"/>
    <n v="8072"/>
  </r>
  <r>
    <s v="243-47-2663"/>
    <s v="Giza"/>
    <x v="1"/>
    <s v="Member"/>
    <x v="1"/>
    <x v="1"/>
    <n v="1877"/>
    <n v="6"/>
    <n v="5631"/>
    <n v="118251"/>
    <x v="0"/>
    <x v="26"/>
    <d v="1899-12-30T16:43:00"/>
    <s v="Credit card"/>
    <n v="11262"/>
    <n v="4761904762"/>
    <n v="5631"/>
    <n v="55"/>
    <n v="11262"/>
  </r>
  <r>
    <s v="841-18-8232"/>
    <s v="Cairo"/>
    <x v="2"/>
    <s v="Normal"/>
    <x v="0"/>
    <x v="4"/>
    <n v="712"/>
    <n v="1"/>
    <n v="356"/>
    <n v="7476"/>
    <x v="0"/>
    <x v="0"/>
    <d v="1899-12-30T20:40:00"/>
    <s v="Credit card"/>
    <n v="712"/>
    <n v="4761904762"/>
    <n v="356"/>
    <n v="92"/>
    <n v="712"/>
  </r>
  <r>
    <s v="701-23-5550"/>
    <s v="Cairo"/>
    <x v="2"/>
    <s v="Member"/>
    <x v="1"/>
    <x v="2"/>
    <n v="3881"/>
    <n v="4"/>
    <n v="7762"/>
    <n v="163002"/>
    <x v="1"/>
    <x v="35"/>
    <d v="1899-12-30T13:40:00"/>
    <s v="Ewallet"/>
    <n v="15524"/>
    <n v="4761904762"/>
    <n v="7762"/>
    <n v="49"/>
    <n v="15524"/>
  </r>
  <r>
    <s v="647-50-1224"/>
    <s v="Alex"/>
    <x v="0"/>
    <s v="Normal"/>
    <x v="0"/>
    <x v="5"/>
    <n v="2942"/>
    <n v="10"/>
    <n v="1471"/>
    <n v="30891"/>
    <x v="0"/>
    <x v="52"/>
    <d v="1899-12-30T16:23:00"/>
    <s v="Ewallet"/>
    <n v="2942"/>
    <n v="4761904762"/>
    <n v="1471"/>
    <n v="89"/>
    <n v="29420"/>
  </r>
  <r>
    <s v="541-48-8554"/>
    <s v="Alex"/>
    <x v="0"/>
    <s v="Normal"/>
    <x v="1"/>
    <x v="3"/>
    <n v="6095"/>
    <n v="9"/>
    <n v="274275"/>
    <n v="5759775"/>
    <x v="0"/>
    <x v="27"/>
    <d v="1899-12-30T12:08:00"/>
    <s v="Credit card"/>
    <n v="54855"/>
    <n v="4761904762"/>
    <n v="274275"/>
    <n v="6"/>
    <n v="54855"/>
  </r>
  <r>
    <s v="539-21-7227"/>
    <s v="Cairo"/>
    <x v="2"/>
    <s v="Normal"/>
    <x v="0"/>
    <x v="3"/>
    <n v="5154"/>
    <n v="5"/>
    <n v="12885"/>
    <n v="270585"/>
    <x v="0"/>
    <x v="53"/>
    <d v="1899-12-30T17:45:00"/>
    <s v="Cash"/>
    <n v="2577"/>
    <n v="4761904762"/>
    <n v="12885"/>
    <n v="42"/>
    <n v="25770"/>
  </r>
  <r>
    <s v="213-32-1216"/>
    <s v="Alex"/>
    <x v="0"/>
    <s v="Normal"/>
    <x v="0"/>
    <x v="1"/>
    <n v="6606"/>
    <n v="6"/>
    <n v="19818"/>
    <n v="416178"/>
    <x v="0"/>
    <x v="54"/>
    <d v="1899-12-30T10:28:00"/>
    <s v="Cash"/>
    <n v="39636"/>
    <n v="4761904762"/>
    <n v="19818"/>
    <n v="73"/>
    <n v="39636"/>
  </r>
  <r>
    <s v="747-58-7183"/>
    <s v="Cairo"/>
    <x v="2"/>
    <s v="Normal"/>
    <x v="1"/>
    <x v="5"/>
    <n v="5727"/>
    <n v="3"/>
    <n v="85905"/>
    <n v="1804005"/>
    <x v="2"/>
    <x v="57"/>
    <d v="1899-12-30T20:31:00"/>
    <s v="Ewallet"/>
    <n v="17181"/>
    <n v="4761904762"/>
    <n v="85905"/>
    <n v="65"/>
    <n v="17181"/>
  </r>
  <r>
    <s v="582-52-8065"/>
    <s v="Cairo"/>
    <x v="2"/>
    <s v="Normal"/>
    <x v="0"/>
    <x v="5"/>
    <n v="5431"/>
    <n v="9"/>
    <n v="244395"/>
    <n v="5132295"/>
    <x v="2"/>
    <x v="70"/>
    <d v="1899-12-30T10:49:00"/>
    <s v="Cash"/>
    <n v="48879"/>
    <n v="4761904762"/>
    <n v="244395"/>
    <n v="89"/>
    <n v="48879"/>
  </r>
  <r>
    <s v="210-57-1719"/>
    <s v="Cairo"/>
    <x v="2"/>
    <s v="Normal"/>
    <x v="0"/>
    <x v="0"/>
    <n v="5824"/>
    <n v="9"/>
    <n v="26208"/>
    <n v="550368"/>
    <x v="2"/>
    <x v="63"/>
    <d v="1899-12-30T12:34:00"/>
    <s v="Cash"/>
    <n v="52416"/>
    <n v="4761904762"/>
    <n v="26208"/>
    <n v="97"/>
    <n v="52416"/>
  </r>
  <r>
    <s v="399-69-4630"/>
    <s v="Giza"/>
    <x v="1"/>
    <s v="Normal"/>
    <x v="1"/>
    <x v="1"/>
    <n v="2221"/>
    <n v="6"/>
    <n v="6663"/>
    <n v="139923"/>
    <x v="1"/>
    <x v="37"/>
    <d v="1899-12-30T10:23:00"/>
    <s v="Credit card"/>
    <n v="13326"/>
    <n v="4761904762"/>
    <n v="6663"/>
    <n v="86"/>
    <n v="13326"/>
  </r>
  <r>
    <s v="134-75-2619"/>
    <s v="Alex"/>
    <x v="0"/>
    <s v="Member"/>
    <x v="1"/>
    <x v="1"/>
    <n v="1932"/>
    <n v="7"/>
    <n v="6762"/>
    <n v="142002"/>
    <x v="1"/>
    <x v="5"/>
    <d v="1899-12-30T18:51:00"/>
    <s v="Cash"/>
    <n v="13524"/>
    <n v="4761904762"/>
    <n v="6762"/>
    <n v="69"/>
    <n v="13524"/>
  </r>
  <r>
    <s v="356-44-8813"/>
    <s v="Cairo"/>
    <x v="2"/>
    <s v="Normal"/>
    <x v="1"/>
    <x v="2"/>
    <n v="3748"/>
    <n v="3"/>
    <n v="5622"/>
    <n v="118062"/>
    <x v="0"/>
    <x v="40"/>
    <d v="1899-12-30T13:45:00"/>
    <s v="Credit card"/>
    <n v="11244"/>
    <n v="4761904762"/>
    <n v="5622"/>
    <n v="77"/>
    <n v="11244"/>
  </r>
  <r>
    <s v="198-66-9832"/>
    <s v="Cairo"/>
    <x v="2"/>
    <s v="Member"/>
    <x v="0"/>
    <x v="5"/>
    <n v="7204"/>
    <n v="2"/>
    <n v="7204"/>
    <n v="151284"/>
    <x v="2"/>
    <x v="87"/>
    <d v="1899-12-30T19:38:00"/>
    <s v="Cash"/>
    <n v="14408"/>
    <n v="4761904762"/>
    <n v="7204"/>
    <n v="95"/>
    <n v="14408"/>
  </r>
  <r>
    <s v="283-26-5248"/>
    <s v="Giza"/>
    <x v="1"/>
    <s v="Member"/>
    <x v="0"/>
    <x v="4"/>
    <n v="9852"/>
    <n v="10"/>
    <n v="4926"/>
    <n v="103446"/>
    <x v="0"/>
    <x v="74"/>
    <d v="1899-12-30T20:23:00"/>
    <s v="Ewallet"/>
    <n v="9852"/>
    <n v="4761904762"/>
    <n v="4926"/>
    <n v="45"/>
    <n v="98520"/>
  </r>
  <r>
    <s v="712-39-0363"/>
    <s v="Alex"/>
    <x v="0"/>
    <s v="Member"/>
    <x v="1"/>
    <x v="4"/>
    <n v="4166"/>
    <n v="6"/>
    <n v="12498"/>
    <n v="262458"/>
    <x v="0"/>
    <x v="56"/>
    <d v="1899-12-30T15:24:00"/>
    <s v="Ewallet"/>
    <n v="24996"/>
    <n v="4761904762"/>
    <n v="12498"/>
    <n v="56"/>
    <n v="24996"/>
  </r>
  <r>
    <s v="218-59-9410"/>
    <s v="Alex"/>
    <x v="0"/>
    <s v="Member"/>
    <x v="0"/>
    <x v="2"/>
    <n v="7242"/>
    <n v="3"/>
    <n v="10863"/>
    <n v="228123"/>
    <x v="1"/>
    <x v="14"/>
    <d v="1899-12-30T16:54:00"/>
    <s v="Ewallet"/>
    <n v="21726"/>
    <n v="4761904762"/>
    <n v="10863"/>
    <n v="82"/>
    <n v="21726"/>
  </r>
  <r>
    <s v="174-75-0888"/>
    <s v="Cairo"/>
    <x v="2"/>
    <s v="Normal"/>
    <x v="1"/>
    <x v="1"/>
    <n v="2158"/>
    <n v="9"/>
    <n v="9711"/>
    <n v="203931"/>
    <x v="1"/>
    <x v="86"/>
    <d v="1899-12-30T12:32:00"/>
    <s v="Cash"/>
    <n v="19422"/>
    <n v="4761904762"/>
    <n v="9711"/>
    <n v="73"/>
    <n v="19422"/>
  </r>
  <r>
    <s v="866-99-7614"/>
    <s v="Giza"/>
    <x v="1"/>
    <s v="Normal"/>
    <x v="1"/>
    <x v="4"/>
    <n v="892"/>
    <n v="10"/>
    <n v="446"/>
    <n v="9366"/>
    <x v="2"/>
    <x v="48"/>
    <d v="1899-12-30T15:42:00"/>
    <s v="Credit card"/>
    <n v="892"/>
    <n v="4761904762"/>
    <n v="446"/>
    <n v="44"/>
    <n v="8920"/>
  </r>
  <r>
    <s v="134-54-4720"/>
    <s v="Cairo"/>
    <x v="2"/>
    <s v="Normal"/>
    <x v="0"/>
    <x v="1"/>
    <n v="4242"/>
    <n v="8"/>
    <n v="16968"/>
    <n v="356328"/>
    <x v="0"/>
    <x v="74"/>
    <d v="1899-12-30T13:58:00"/>
    <s v="Ewallet"/>
    <n v="33936"/>
    <n v="4761904762"/>
    <n v="16968"/>
    <n v="57"/>
    <n v="33936"/>
  </r>
  <r>
    <s v="760-90-2357"/>
    <s v="Alex"/>
    <x v="0"/>
    <s v="Member"/>
    <x v="1"/>
    <x v="1"/>
    <n v="7451"/>
    <n v="6"/>
    <n v="22353"/>
    <n v="469413"/>
    <x v="1"/>
    <x v="80"/>
    <d v="1899-12-30T15:08:00"/>
    <s v="Ewallet"/>
    <n v="44706"/>
    <n v="4761904762"/>
    <n v="22353"/>
    <n v="5"/>
    <n v="44706"/>
  </r>
  <r>
    <s v="514-37-2845"/>
    <s v="Cairo"/>
    <x v="2"/>
    <s v="Normal"/>
    <x v="1"/>
    <x v="5"/>
    <n v="9925"/>
    <n v="2"/>
    <n v="9925"/>
    <n v="208425"/>
    <x v="1"/>
    <x v="80"/>
    <d v="1899-12-30T13:02:00"/>
    <s v="Cash"/>
    <n v="1985"/>
    <n v="4761904762"/>
    <n v="9925"/>
    <n v="9"/>
    <n v="19850"/>
  </r>
  <r>
    <s v="698-98-5964"/>
    <s v="Alex"/>
    <x v="0"/>
    <s v="Normal"/>
    <x v="0"/>
    <x v="4"/>
    <n v="8121"/>
    <n v="10"/>
    <n v="40605"/>
    <n v="852705"/>
    <x v="0"/>
    <x v="29"/>
    <d v="1899-12-30T13:01:00"/>
    <s v="Credit card"/>
    <n v="8121"/>
    <n v="4761904762"/>
    <n v="40605"/>
    <n v="63"/>
    <n v="81210"/>
  </r>
  <r>
    <s v="718-57-9773"/>
    <s v="Giza"/>
    <x v="1"/>
    <s v="Normal"/>
    <x v="0"/>
    <x v="3"/>
    <n v="4933"/>
    <n v="10"/>
    <n v="24665"/>
    <n v="517965"/>
    <x v="2"/>
    <x v="36"/>
    <d v="1899-12-30T16:40:00"/>
    <s v="Credit card"/>
    <n v="4933"/>
    <n v="4761904762"/>
    <n v="24665"/>
    <n v="94"/>
    <n v="49330"/>
  </r>
  <r>
    <s v="651-88-7328"/>
    <s v="Alex"/>
    <x v="0"/>
    <s v="Normal"/>
    <x v="0"/>
    <x v="5"/>
    <n v="6574"/>
    <n v="9"/>
    <n v="29583"/>
    <n v="621243"/>
    <x v="0"/>
    <x v="17"/>
    <d v="1899-12-30T13:55:00"/>
    <s v="Cash"/>
    <n v="59166"/>
    <n v="4761904762"/>
    <n v="29583"/>
    <n v="77"/>
    <n v="59166"/>
  </r>
  <r>
    <s v="241-11-2261"/>
    <s v="Cairo"/>
    <x v="2"/>
    <s v="Normal"/>
    <x v="0"/>
    <x v="5"/>
    <n v="7986"/>
    <n v="7"/>
    <n v="27951"/>
    <n v="586971"/>
    <x v="0"/>
    <x v="8"/>
    <d v="1899-12-30T10:33:00"/>
    <s v="Credit card"/>
    <n v="55902"/>
    <n v="4761904762"/>
    <n v="27951"/>
    <n v="55"/>
    <n v="55902"/>
  </r>
  <r>
    <s v="408-26-9866"/>
    <s v="Giza"/>
    <x v="1"/>
    <s v="Normal"/>
    <x v="0"/>
    <x v="3"/>
    <n v="7398"/>
    <n v="7"/>
    <n v="25893"/>
    <n v="543753"/>
    <x v="1"/>
    <x v="22"/>
    <d v="1899-12-30T16:42:00"/>
    <s v="Ewallet"/>
    <n v="51786"/>
    <n v="4761904762"/>
    <n v="25893"/>
    <n v="41"/>
    <n v="51786"/>
  </r>
  <r>
    <s v="834-83-1826"/>
    <s v="Cairo"/>
    <x v="2"/>
    <s v="Member"/>
    <x v="0"/>
    <x v="2"/>
    <n v="8204"/>
    <n v="5"/>
    <n v="2051"/>
    <n v="43071"/>
    <x v="2"/>
    <x v="6"/>
    <d v="1899-12-30T17:16:00"/>
    <s v="Credit card"/>
    <n v="4102"/>
    <n v="4761904762"/>
    <n v="2051"/>
    <n v="76"/>
    <n v="41020"/>
  </r>
  <r>
    <s v="343-61-3544"/>
    <s v="Cairo"/>
    <x v="2"/>
    <s v="Member"/>
    <x v="1"/>
    <x v="3"/>
    <n v="2667"/>
    <n v="10"/>
    <n v="13335"/>
    <n v="280035"/>
    <x v="0"/>
    <x v="71"/>
    <d v="1899-12-30T11:48:00"/>
    <s v="Cash"/>
    <n v="2667"/>
    <n v="4761904762"/>
    <n v="13335"/>
    <n v="86"/>
    <n v="26670"/>
  </r>
  <r>
    <s v="239-48-4278"/>
    <s v="Alex"/>
    <x v="0"/>
    <s v="Member"/>
    <x v="1"/>
    <x v="4"/>
    <n v="1013"/>
    <n v="7"/>
    <n v="35455"/>
    <n v="744555"/>
    <x v="1"/>
    <x v="24"/>
    <d v="1899-12-30T19:35:00"/>
    <s v="Ewallet"/>
    <n v="7091"/>
    <n v="4761904762"/>
    <n v="35455"/>
    <n v="83"/>
    <n v="7091"/>
  </r>
  <r>
    <s v="355-34-6244"/>
    <s v="Cairo"/>
    <x v="2"/>
    <s v="Normal"/>
    <x v="1"/>
    <x v="4"/>
    <n v="7239"/>
    <n v="2"/>
    <n v="7239"/>
    <n v="152019"/>
    <x v="0"/>
    <x v="50"/>
    <d v="1899-12-30T19:55:00"/>
    <s v="Credit card"/>
    <n v="14478"/>
    <n v="4761904762"/>
    <n v="7239"/>
    <n v="81"/>
    <n v="14478"/>
  </r>
  <r>
    <s v="550-84-8664"/>
    <s v="Alex"/>
    <x v="0"/>
    <s v="Normal"/>
    <x v="1"/>
    <x v="3"/>
    <n v="8591"/>
    <n v="5"/>
    <n v="214775"/>
    <n v="4510275"/>
    <x v="1"/>
    <x v="23"/>
    <d v="1899-12-30T14:33:00"/>
    <s v="Credit card"/>
    <n v="42955"/>
    <n v="4761904762"/>
    <n v="214775"/>
    <n v="86"/>
    <n v="42955"/>
  </r>
  <r>
    <s v="339-96-8318"/>
    <s v="Cairo"/>
    <x v="2"/>
    <s v="Member"/>
    <x v="1"/>
    <x v="5"/>
    <n v="8131"/>
    <n v="7"/>
    <n v="284585"/>
    <n v="5976285"/>
    <x v="1"/>
    <x v="59"/>
    <d v="1899-12-30T19:49:00"/>
    <s v="Ewallet"/>
    <n v="56917"/>
    <n v="4761904762"/>
    <n v="284585"/>
    <n v="63"/>
    <n v="56917"/>
  </r>
  <r>
    <s v="458-61-0011"/>
    <s v="Cairo"/>
    <x v="2"/>
    <s v="Normal"/>
    <x v="1"/>
    <x v="4"/>
    <n v="603"/>
    <n v="4"/>
    <n v="1206"/>
    <n v="25326"/>
    <x v="2"/>
    <x v="9"/>
    <d v="1899-12-30T18:43:00"/>
    <s v="Cash"/>
    <n v="2412"/>
    <n v="4761904762"/>
    <n v="1206"/>
    <n v="58"/>
    <n v="2412"/>
  </r>
  <r>
    <s v="592-34-6155"/>
    <s v="Giza"/>
    <x v="1"/>
    <s v="Normal"/>
    <x v="1"/>
    <x v="4"/>
    <n v="3177"/>
    <n v="4"/>
    <n v="6354"/>
    <n v="133434"/>
    <x v="0"/>
    <x v="78"/>
    <d v="1899-12-30T14:43:00"/>
    <s v="Ewallet"/>
    <n v="12708"/>
    <n v="4761904762"/>
    <n v="6354"/>
    <n v="62"/>
    <n v="12708"/>
  </r>
  <r>
    <s v="797-88-0493"/>
    <s v="Alex"/>
    <x v="0"/>
    <s v="Normal"/>
    <x v="0"/>
    <x v="0"/>
    <n v="6427"/>
    <n v="4"/>
    <n v="12854"/>
    <n v="269934"/>
    <x v="1"/>
    <x v="58"/>
    <d v="1899-12-30T13:54:00"/>
    <s v="Cash"/>
    <n v="25708"/>
    <n v="4761904762"/>
    <n v="12854"/>
    <n v="77"/>
    <n v="25708"/>
  </r>
  <r>
    <s v="207-73-1363"/>
    <s v="Cairo"/>
    <x v="2"/>
    <s v="Normal"/>
    <x v="1"/>
    <x v="0"/>
    <n v="6951"/>
    <n v="2"/>
    <n v="6951"/>
    <n v="145971"/>
    <x v="1"/>
    <x v="59"/>
    <d v="1899-12-30T12:15:00"/>
    <s v="Ewallet"/>
    <n v="13902"/>
    <n v="4761904762"/>
    <n v="6951"/>
    <n v="81"/>
    <n v="13902"/>
  </r>
  <r>
    <s v="390-31-6381"/>
    <s v="Giza"/>
    <x v="1"/>
    <s v="Normal"/>
    <x v="1"/>
    <x v="4"/>
    <n v="2722"/>
    <n v="3"/>
    <n v="4083"/>
    <n v="85743"/>
    <x v="0"/>
    <x v="27"/>
    <d v="1899-12-30T12:37:00"/>
    <s v="Cash"/>
    <n v="8166"/>
    <n v="4761904762"/>
    <n v="4083"/>
    <n v="73"/>
    <n v="8166"/>
  </r>
  <r>
    <s v="443-82-0585"/>
    <s v="Alex"/>
    <x v="0"/>
    <s v="Member"/>
    <x v="0"/>
    <x v="0"/>
    <n v="7768"/>
    <n v="4"/>
    <n v="15536"/>
    <n v="326256"/>
    <x v="2"/>
    <x v="60"/>
    <d v="1899-12-30T19:54:00"/>
    <s v="Cash"/>
    <n v="31072"/>
    <n v="4761904762"/>
    <n v="15536"/>
    <n v="84"/>
    <n v="31072"/>
  </r>
  <r>
    <s v="339-18-7061"/>
    <s v="Giza"/>
    <x v="1"/>
    <s v="Member"/>
    <x v="0"/>
    <x v="5"/>
    <n v="9298"/>
    <n v="2"/>
    <n v="9298"/>
    <n v="195258"/>
    <x v="2"/>
    <x v="77"/>
    <d v="1899-12-30T15:06:00"/>
    <s v="Credit card"/>
    <n v="18596"/>
    <n v="4761904762"/>
    <n v="9298"/>
    <n v="8"/>
    <n v="18596"/>
  </r>
  <r>
    <s v="359-90-3665"/>
    <s v="Cairo"/>
    <x v="2"/>
    <s v="Member"/>
    <x v="0"/>
    <x v="5"/>
    <n v="1808"/>
    <n v="4"/>
    <n v="3616"/>
    <n v="75936"/>
    <x v="0"/>
    <x v="78"/>
    <d v="1899-12-30T18:03:00"/>
    <s v="Credit card"/>
    <n v="7232"/>
    <n v="4761904762"/>
    <n v="3616"/>
    <n v="95"/>
    <n v="7232"/>
  </r>
  <r>
    <s v="375-72-3056"/>
    <s v="Cairo"/>
    <x v="2"/>
    <s v="Normal"/>
    <x v="1"/>
    <x v="3"/>
    <n v="6306"/>
    <n v="3"/>
    <n v="9459"/>
    <n v="198639"/>
    <x v="0"/>
    <x v="64"/>
    <d v="1899-12-30T15:58:00"/>
    <s v="Ewallet"/>
    <n v="18918"/>
    <n v="4761904762"/>
    <n v="9459"/>
    <n v="7"/>
    <n v="18918"/>
  </r>
  <r>
    <s v="127-47-6963"/>
    <s v="Alex"/>
    <x v="0"/>
    <s v="Normal"/>
    <x v="1"/>
    <x v="0"/>
    <n v="5171"/>
    <n v="4"/>
    <n v="10342"/>
    <n v="217182"/>
    <x v="1"/>
    <x v="11"/>
    <d v="1899-12-30T13:53:00"/>
    <s v="Credit card"/>
    <n v="20684"/>
    <n v="4761904762"/>
    <n v="10342"/>
    <n v="98"/>
    <n v="20684"/>
  </r>
  <r>
    <s v="278-86-2735"/>
    <s v="Alex"/>
    <x v="0"/>
    <s v="Normal"/>
    <x v="0"/>
    <x v="4"/>
    <n v="5234"/>
    <n v="3"/>
    <n v="7851"/>
    <n v="164871"/>
    <x v="1"/>
    <x v="39"/>
    <d v="1899-12-30T14:03:00"/>
    <s v="Cash"/>
    <n v="15702"/>
    <n v="4761904762"/>
    <n v="7851"/>
    <n v="92"/>
    <n v="15702"/>
  </r>
  <r>
    <s v="695-28-6250"/>
    <s v="Alex"/>
    <x v="0"/>
    <s v="Normal"/>
    <x v="0"/>
    <x v="3"/>
    <n v="4306"/>
    <n v="5"/>
    <n v="10765"/>
    <n v="226065"/>
    <x v="2"/>
    <x v="87"/>
    <d v="1899-12-30T16:38:00"/>
    <s v="Ewallet"/>
    <n v="2153"/>
    <n v="4761904762"/>
    <n v="10765"/>
    <n v="77"/>
    <n v="21530"/>
  </r>
  <r>
    <s v="379-17-6588"/>
    <s v="Giza"/>
    <x v="1"/>
    <s v="Normal"/>
    <x v="1"/>
    <x v="5"/>
    <n v="5961"/>
    <n v="10"/>
    <n v="29805"/>
    <n v="625905"/>
    <x v="1"/>
    <x v="86"/>
    <d v="1899-12-30T11:07:00"/>
    <s v="Cash"/>
    <n v="5961"/>
    <n v="4761904762"/>
    <n v="29805"/>
    <n v="53"/>
    <n v="59610"/>
  </r>
  <r>
    <s v="227-50-3718"/>
    <s v="Alex"/>
    <x v="0"/>
    <s v="Normal"/>
    <x v="1"/>
    <x v="0"/>
    <n v="1462"/>
    <n v="5"/>
    <n v="3655"/>
    <n v="76755"/>
    <x v="1"/>
    <x v="31"/>
    <d v="1899-12-30T12:23:00"/>
    <s v="Cash"/>
    <n v="731"/>
    <n v="4761904762"/>
    <n v="3655"/>
    <n v="44"/>
    <n v="7310"/>
  </r>
  <r>
    <s v="302-15-2162"/>
    <s v="Giza"/>
    <x v="1"/>
    <s v="Member"/>
    <x v="1"/>
    <x v="0"/>
    <n v="4653"/>
    <n v="6"/>
    <n v="13959"/>
    <n v="293139"/>
    <x v="1"/>
    <x v="2"/>
    <d v="1899-12-30T10:54:00"/>
    <s v="Credit card"/>
    <n v="27918"/>
    <n v="4761904762"/>
    <n v="13959"/>
    <n v="43"/>
    <n v="27918"/>
  </r>
  <r>
    <s v="788-07-8452"/>
    <s v="Giza"/>
    <x v="1"/>
    <s v="Member"/>
    <x v="0"/>
    <x v="2"/>
    <n v="2424"/>
    <n v="7"/>
    <n v="8484"/>
    <n v="178164"/>
    <x v="0"/>
    <x v="3"/>
    <d v="1899-12-30T17:38:00"/>
    <s v="Ewallet"/>
    <n v="16968"/>
    <n v="4761904762"/>
    <n v="8484"/>
    <n v="94"/>
    <n v="16968"/>
  </r>
  <r>
    <s v="560-49-6611"/>
    <s v="Alex"/>
    <x v="0"/>
    <s v="Member"/>
    <x v="0"/>
    <x v="3"/>
    <n v="4558"/>
    <n v="1"/>
    <n v="2279"/>
    <n v="47859"/>
    <x v="2"/>
    <x v="13"/>
    <d v="1899-12-30T14:13:00"/>
    <s v="Cash"/>
    <n v="4558"/>
    <n v="4761904762"/>
    <n v="2279"/>
    <n v="98"/>
    <n v="4558"/>
  </r>
  <r>
    <s v="880-35-0356"/>
    <s v="Alex"/>
    <x v="0"/>
    <s v="Member"/>
    <x v="0"/>
    <x v="3"/>
    <n v="752"/>
    <n v="3"/>
    <n v="1128"/>
    <n v="23688"/>
    <x v="2"/>
    <x v="63"/>
    <d v="1899-12-30T11:51:00"/>
    <s v="Ewallet"/>
    <n v="2256"/>
    <n v="4761904762"/>
    <n v="1128"/>
    <n v="48"/>
    <n v="2256"/>
  </r>
  <r>
    <s v="585-11-6748"/>
    <s v="Cairo"/>
    <x v="2"/>
    <s v="Member"/>
    <x v="1"/>
    <x v="3"/>
    <n v="968"/>
    <n v="3"/>
    <n v="1452"/>
    <n v="30492"/>
    <x v="1"/>
    <x v="20"/>
    <d v="1899-12-30T13:05:00"/>
    <s v="Cash"/>
    <n v="2904"/>
    <n v="4761904762"/>
    <n v="1452"/>
    <n v="53"/>
    <n v="2904"/>
  </r>
  <r>
    <s v="470-31-3286"/>
    <s v="Cairo"/>
    <x v="2"/>
    <s v="Normal"/>
    <x v="1"/>
    <x v="0"/>
    <n v="1482"/>
    <n v="3"/>
    <n v="2223"/>
    <n v="46683"/>
    <x v="1"/>
    <x v="59"/>
    <d v="1899-12-30T11:30:00"/>
    <s v="Credit card"/>
    <n v="4446"/>
    <n v="4761904762"/>
    <n v="2223"/>
    <n v="87"/>
    <n v="4446"/>
  </r>
  <r>
    <s v="152-68-2907"/>
    <s v="Alex"/>
    <x v="0"/>
    <s v="Normal"/>
    <x v="1"/>
    <x v="4"/>
    <n v="522"/>
    <n v="3"/>
    <n v="783"/>
    <n v="16443"/>
    <x v="2"/>
    <x v="42"/>
    <d v="1899-12-30T13:30:00"/>
    <s v="Credit card"/>
    <n v="1566"/>
    <n v="4761904762"/>
    <n v="783"/>
    <n v="95"/>
    <n v="1566"/>
  </r>
  <r>
    <s v="123-35-4896"/>
    <s v="Giza"/>
    <x v="1"/>
    <s v="Normal"/>
    <x v="0"/>
    <x v="3"/>
    <n v="4666"/>
    <n v="9"/>
    <n v="20997"/>
    <n v="440937"/>
    <x v="2"/>
    <x v="21"/>
    <d v="1899-12-30T19:11:00"/>
    <s v="Ewallet"/>
    <n v="41994"/>
    <n v="4761904762"/>
    <n v="20997"/>
    <n v="53"/>
    <n v="41994"/>
  </r>
  <r>
    <s v="258-69-7810"/>
    <s v="Giza"/>
    <x v="1"/>
    <s v="Normal"/>
    <x v="0"/>
    <x v="5"/>
    <n v="3685"/>
    <n v="5"/>
    <n v="92125"/>
    <n v="1934625"/>
    <x v="0"/>
    <x v="53"/>
    <d v="1899-12-30T18:53:00"/>
    <s v="Cash"/>
    <n v="18425"/>
    <n v="4761904762"/>
    <n v="92125"/>
    <n v="92"/>
    <n v="18425"/>
  </r>
  <r>
    <s v="334-64-2006"/>
    <s v="Alex"/>
    <x v="0"/>
    <s v="Member"/>
    <x v="0"/>
    <x v="2"/>
    <n v="7032"/>
    <n v="2"/>
    <n v="7032"/>
    <n v="147672"/>
    <x v="1"/>
    <x v="62"/>
    <d v="1899-12-30T14:22:00"/>
    <s v="Ewallet"/>
    <n v="14064"/>
    <n v="4761904762"/>
    <n v="7032"/>
    <n v="96"/>
    <n v="14064"/>
  </r>
  <r>
    <s v="219-61-4139"/>
    <s v="Giza"/>
    <x v="1"/>
    <s v="Normal"/>
    <x v="1"/>
    <x v="1"/>
    <n v="8308"/>
    <n v="1"/>
    <n v="4154"/>
    <n v="87234"/>
    <x v="0"/>
    <x v="54"/>
    <d v="1899-12-30T17:16:00"/>
    <s v="Ewallet"/>
    <n v="8308"/>
    <n v="4761904762"/>
    <n v="4154"/>
    <n v="64"/>
    <n v="8308"/>
  </r>
  <r>
    <s v="881-41-7302"/>
    <s v="Giza"/>
    <x v="1"/>
    <s v="Normal"/>
    <x v="0"/>
    <x v="5"/>
    <n v="6499"/>
    <n v="1"/>
    <n v="32495"/>
    <n v="682395"/>
    <x v="0"/>
    <x v="53"/>
    <d v="1899-12-30T10:06:00"/>
    <s v="Credit card"/>
    <n v="6499"/>
    <n v="4761904762"/>
    <n v="32495"/>
    <n v="45"/>
    <n v="6499"/>
  </r>
  <r>
    <s v="373-09-4567"/>
    <s v="Giza"/>
    <x v="1"/>
    <s v="Normal"/>
    <x v="1"/>
    <x v="4"/>
    <n v="7756"/>
    <n v="10"/>
    <n v="3878"/>
    <n v="81438"/>
    <x v="1"/>
    <x v="86"/>
    <d v="1899-12-30T20:35:00"/>
    <s v="Ewallet"/>
    <n v="7756"/>
    <n v="4761904762"/>
    <n v="3878"/>
    <n v="69"/>
    <n v="77560"/>
  </r>
  <r>
    <s v="642-30-6693"/>
    <s v="Cairo"/>
    <x v="2"/>
    <s v="Normal"/>
    <x v="0"/>
    <x v="3"/>
    <n v="5451"/>
    <n v="6"/>
    <n v="16353"/>
    <n v="343413"/>
    <x v="1"/>
    <x v="85"/>
    <d v="1899-12-30T13:54:00"/>
    <s v="Ewallet"/>
    <n v="32706"/>
    <n v="4761904762"/>
    <n v="16353"/>
    <n v="78"/>
    <n v="32706"/>
  </r>
  <r>
    <s v="484-22-8230"/>
    <s v="Giza"/>
    <x v="1"/>
    <s v="Member"/>
    <x v="0"/>
    <x v="5"/>
    <n v="5189"/>
    <n v="7"/>
    <n v="181615"/>
    <n v="3813915"/>
    <x v="0"/>
    <x v="66"/>
    <d v="1899-12-30T20:08:00"/>
    <s v="Cash"/>
    <n v="36323"/>
    <n v="4761904762"/>
    <n v="181615"/>
    <n v="45"/>
    <n v="36323"/>
  </r>
  <r>
    <s v="830-58-2383"/>
    <s v="Cairo"/>
    <x v="2"/>
    <s v="Normal"/>
    <x v="1"/>
    <x v="2"/>
    <n v="3175"/>
    <n v="4"/>
    <n v="635"/>
    <n v="13335"/>
    <x v="2"/>
    <x v="4"/>
    <d v="1899-12-30T15:26:00"/>
    <s v="Cash"/>
    <n v="127"/>
    <n v="4761904762"/>
    <n v="635"/>
    <n v="86"/>
    <n v="12700"/>
  </r>
  <r>
    <s v="559-98-9873"/>
    <s v="Alex"/>
    <x v="0"/>
    <s v="Member"/>
    <x v="0"/>
    <x v="5"/>
    <n v="5365"/>
    <n v="7"/>
    <n v="187775"/>
    <n v="3943275"/>
    <x v="2"/>
    <x v="34"/>
    <d v="1899-12-30T12:56:00"/>
    <s v="Ewallet"/>
    <n v="37555"/>
    <n v="4761904762"/>
    <n v="187775"/>
    <n v="52"/>
    <n v="37555"/>
  </r>
  <r>
    <s v="544-32-5024"/>
    <s v="Giza"/>
    <x v="1"/>
    <s v="Member"/>
    <x v="0"/>
    <x v="4"/>
    <n v="4979"/>
    <n v="4"/>
    <n v="9958"/>
    <n v="209118"/>
    <x v="1"/>
    <x v="61"/>
    <d v="1899-12-30T19:16:00"/>
    <s v="Credit card"/>
    <n v="19916"/>
    <n v="4761904762"/>
    <n v="9958"/>
    <n v="64"/>
    <n v="19916"/>
  </r>
  <r>
    <s v="318-12-0304"/>
    <s v="Alex"/>
    <x v="0"/>
    <s v="Normal"/>
    <x v="1"/>
    <x v="5"/>
    <n v="3061"/>
    <n v="1"/>
    <n v="15305"/>
    <n v="321405"/>
    <x v="0"/>
    <x v="54"/>
    <d v="1899-12-30T12:20:00"/>
    <s v="Ewallet"/>
    <n v="3061"/>
    <n v="4761904762"/>
    <n v="15305"/>
    <n v="52"/>
    <n v="3061"/>
  </r>
  <r>
    <s v="349-97-8902"/>
    <s v="Cairo"/>
    <x v="2"/>
    <s v="Member"/>
    <x v="1"/>
    <x v="4"/>
    <n v="5789"/>
    <n v="2"/>
    <n v="5789"/>
    <n v="121569"/>
    <x v="0"/>
    <x v="29"/>
    <d v="1899-12-30T10:37:00"/>
    <s v="Ewallet"/>
    <n v="11578"/>
    <n v="4761904762"/>
    <n v="5789"/>
    <n v="89"/>
    <n v="11578"/>
  </r>
  <r>
    <s v="421-95-9805"/>
    <s v="Alex"/>
    <x v="0"/>
    <s v="Normal"/>
    <x v="0"/>
    <x v="1"/>
    <n v="2896"/>
    <n v="1"/>
    <n v="1448"/>
    <n v="30408"/>
    <x v="2"/>
    <x v="13"/>
    <d v="1899-12-30T10:18:00"/>
    <s v="Credit card"/>
    <n v="2896"/>
    <n v="4761904762"/>
    <n v="1448"/>
    <n v="62"/>
    <n v="2896"/>
  </r>
  <r>
    <s v="277-35-5865"/>
    <s v="Giza"/>
    <x v="1"/>
    <s v="Member"/>
    <x v="0"/>
    <x v="4"/>
    <n v="9897"/>
    <n v="9"/>
    <n v="445365"/>
    <n v="9352665"/>
    <x v="1"/>
    <x v="11"/>
    <d v="1899-12-30T11:23:00"/>
    <s v="Cash"/>
    <n v="89073"/>
    <n v="4761904762"/>
    <n v="445365"/>
    <n v="67"/>
    <n v="89073"/>
  </r>
  <r>
    <s v="789-23-8625"/>
    <s v="Cairo"/>
    <x v="2"/>
    <s v="Member"/>
    <x v="1"/>
    <x v="5"/>
    <n v="9322"/>
    <n v="3"/>
    <n v="13983"/>
    <n v="293643"/>
    <x v="0"/>
    <x v="46"/>
    <d v="1899-12-30T11:45:00"/>
    <s v="Cash"/>
    <n v="27966"/>
    <n v="4761904762"/>
    <n v="13983"/>
    <n v="72"/>
    <n v="27966"/>
  </r>
  <r>
    <s v="284-54-4231"/>
    <s v="Giza"/>
    <x v="1"/>
    <s v="Member"/>
    <x v="1"/>
    <x v="3"/>
    <n v="8093"/>
    <n v="1"/>
    <n v="40465"/>
    <n v="849765"/>
    <x v="0"/>
    <x v="64"/>
    <d v="1899-12-30T16:08:00"/>
    <s v="Credit card"/>
    <n v="8093"/>
    <n v="4761904762"/>
    <n v="40465"/>
    <n v="9"/>
    <n v="8093"/>
  </r>
  <r>
    <s v="443-59-0061"/>
    <s v="Alex"/>
    <x v="0"/>
    <s v="Member"/>
    <x v="1"/>
    <x v="4"/>
    <n v="6745"/>
    <n v="10"/>
    <n v="33725"/>
    <n v="708225"/>
    <x v="2"/>
    <x v="36"/>
    <d v="1899-12-30T11:25:00"/>
    <s v="Ewallet"/>
    <n v="6745"/>
    <n v="4761904762"/>
    <n v="33725"/>
    <n v="42"/>
    <n v="67450"/>
  </r>
  <r>
    <s v="509-29-3912"/>
    <s v="Alex"/>
    <x v="0"/>
    <s v="Member"/>
    <x v="0"/>
    <x v="3"/>
    <n v="3872"/>
    <n v="9"/>
    <n v="17424"/>
    <n v="365904"/>
    <x v="1"/>
    <x v="80"/>
    <d v="1899-12-30T12:24:00"/>
    <s v="Ewallet"/>
    <n v="34848"/>
    <n v="4761904762"/>
    <n v="17424"/>
    <n v="42"/>
    <n v="34848"/>
  </r>
  <r>
    <s v="327-40-9673"/>
    <s v="Cairo"/>
    <x v="2"/>
    <s v="Member"/>
    <x v="1"/>
    <x v="3"/>
    <n v="726"/>
    <n v="6"/>
    <n v="2178"/>
    <n v="45738"/>
    <x v="0"/>
    <x v="50"/>
    <d v="1899-12-30T19:51:00"/>
    <s v="Cash"/>
    <n v="4356"/>
    <n v="4761904762"/>
    <n v="2178"/>
    <n v="69"/>
    <n v="4356"/>
  </r>
  <r>
    <s v="840-19-2096"/>
    <s v="Giza"/>
    <x v="1"/>
    <s v="Member"/>
    <x v="1"/>
    <x v="1"/>
    <n v="8791"/>
    <n v="5"/>
    <n v="219775"/>
    <n v="4615275"/>
    <x v="1"/>
    <x v="86"/>
    <d v="1899-12-30T18:10:00"/>
    <s v="Ewallet"/>
    <n v="43955"/>
    <n v="4761904762"/>
    <n v="219775"/>
    <n v="44"/>
    <n v="43955"/>
  </r>
  <r>
    <s v="828-46-6863"/>
    <s v="Alex"/>
    <x v="0"/>
    <s v="Member"/>
    <x v="1"/>
    <x v="4"/>
    <n v="9853"/>
    <n v="6"/>
    <n v="29559"/>
    <n v="620739"/>
    <x v="0"/>
    <x v="54"/>
    <d v="1899-12-30T11:22:00"/>
    <s v="Credit card"/>
    <n v="59118"/>
    <n v="4761904762"/>
    <n v="29559"/>
    <n v="4"/>
    <n v="59118"/>
  </r>
  <r>
    <s v="641-96-3695"/>
    <s v="Giza"/>
    <x v="1"/>
    <s v="Member"/>
    <x v="0"/>
    <x v="5"/>
    <n v="4346"/>
    <n v="6"/>
    <n v="13038"/>
    <n v="273798"/>
    <x v="2"/>
    <x v="13"/>
    <d v="1899-12-30T17:55:00"/>
    <s v="Ewallet"/>
    <n v="26076"/>
    <n v="4761904762"/>
    <n v="13038"/>
    <n v="85"/>
    <n v="26076"/>
  </r>
  <r>
    <s v="420-97-3340"/>
    <s v="Alex"/>
    <x v="0"/>
    <s v="Normal"/>
    <x v="0"/>
    <x v="4"/>
    <n v="7168"/>
    <n v="3"/>
    <n v="10752"/>
    <n v="225792"/>
    <x v="1"/>
    <x v="61"/>
    <d v="1899-12-30T15:30:00"/>
    <s v="Credit card"/>
    <n v="21504"/>
    <n v="4761904762"/>
    <n v="10752"/>
    <n v="92"/>
    <n v="21504"/>
  </r>
  <r>
    <s v="436-54-4512"/>
    <s v="Alex"/>
    <x v="0"/>
    <s v="Member"/>
    <x v="0"/>
    <x v="4"/>
    <n v="9161"/>
    <n v="1"/>
    <n v="45805"/>
    <n v="961905"/>
    <x v="1"/>
    <x v="80"/>
    <d v="1899-12-30T19:44:00"/>
    <s v="Cash"/>
    <n v="9161"/>
    <n v="4761904762"/>
    <n v="45805"/>
    <n v="98"/>
    <n v="9161"/>
  </r>
  <r>
    <s v="670-79-6321"/>
    <s v="Cairo"/>
    <x v="2"/>
    <s v="Member"/>
    <x v="0"/>
    <x v="2"/>
    <n v="9459"/>
    <n v="7"/>
    <n v="331065"/>
    <n v="6952365"/>
    <x v="0"/>
    <x v="29"/>
    <d v="1899-12-30T15:27:00"/>
    <s v="Credit card"/>
    <n v="66213"/>
    <n v="4761904762"/>
    <n v="331065"/>
    <n v="49"/>
    <n v="66213"/>
  </r>
  <r>
    <s v="852-62-7105"/>
    <s v="Cairo"/>
    <x v="2"/>
    <s v="Normal"/>
    <x v="0"/>
    <x v="5"/>
    <n v="8325"/>
    <n v="10"/>
    <n v="41625"/>
    <n v="874125"/>
    <x v="0"/>
    <x v="52"/>
    <d v="1899-12-30T11:25:00"/>
    <s v="Credit card"/>
    <n v="8325"/>
    <n v="4761904762"/>
    <n v="41625"/>
    <n v="44"/>
    <n v="83250"/>
  </r>
  <r>
    <s v="598-06-7312"/>
    <s v="Cairo"/>
    <x v="2"/>
    <s v="Member"/>
    <x v="1"/>
    <x v="5"/>
    <n v="9135"/>
    <n v="1"/>
    <n v="45675"/>
    <n v="959175"/>
    <x v="2"/>
    <x v="69"/>
    <d v="1899-12-30T15:42:00"/>
    <s v="Cash"/>
    <n v="9135"/>
    <n v="4761904762"/>
    <n v="45675"/>
    <n v="68"/>
    <n v="9135"/>
  </r>
  <r>
    <s v="135-13-8269"/>
    <s v="Cairo"/>
    <x v="2"/>
    <s v="Member"/>
    <x v="0"/>
    <x v="4"/>
    <n v="7888"/>
    <n v="2"/>
    <n v="7888"/>
    <n v="165648"/>
    <x v="0"/>
    <x v="53"/>
    <d v="1899-12-30T16:04:00"/>
    <s v="Cash"/>
    <n v="15776"/>
    <n v="4761904762"/>
    <n v="7888"/>
    <n v="91"/>
    <n v="15776"/>
  </r>
  <r>
    <s v="816-57-2053"/>
    <s v="Alex"/>
    <x v="0"/>
    <s v="Normal"/>
    <x v="1"/>
    <x v="3"/>
    <n v="6087"/>
    <n v="2"/>
    <n v="6087"/>
    <n v="127827"/>
    <x v="1"/>
    <x v="11"/>
    <d v="1899-12-30T12:37:00"/>
    <s v="Ewallet"/>
    <n v="12174"/>
    <n v="4761904762"/>
    <n v="6087"/>
    <n v="87"/>
    <n v="12174"/>
  </r>
  <r>
    <s v="628-90-8624"/>
    <s v="Cairo"/>
    <x v="2"/>
    <s v="Member"/>
    <x v="1"/>
    <x v="0"/>
    <n v="8258"/>
    <n v="10"/>
    <n v="4129"/>
    <n v="86709"/>
    <x v="1"/>
    <x v="86"/>
    <d v="1899-12-30T14:41:00"/>
    <s v="Cash"/>
    <n v="8258"/>
    <n v="4761904762"/>
    <n v="4129"/>
    <n v="5"/>
    <n v="82580"/>
  </r>
  <r>
    <s v="856-66-2701"/>
    <s v="Alex"/>
    <x v="0"/>
    <s v="Member"/>
    <x v="1"/>
    <x v="2"/>
    <n v="533"/>
    <n v="3"/>
    <n v="7995"/>
    <n v="167895"/>
    <x v="0"/>
    <x v="25"/>
    <d v="1899-12-30T14:19:00"/>
    <s v="Ewallet"/>
    <n v="1599"/>
    <n v="4761904762"/>
    <n v="7995"/>
    <n v="75"/>
    <n v="1599"/>
  </r>
  <r>
    <s v="308-39-1707"/>
    <s v="Alex"/>
    <x v="0"/>
    <s v="Normal"/>
    <x v="0"/>
    <x v="5"/>
    <n v="1209"/>
    <n v="1"/>
    <n v="6045"/>
    <n v="126945"/>
    <x v="0"/>
    <x v="53"/>
    <d v="1899-12-30T18:19:00"/>
    <s v="Credit card"/>
    <n v="1209"/>
    <n v="4761904762"/>
    <n v="6045"/>
    <n v="82"/>
    <n v="1209"/>
  </r>
  <r>
    <s v="149-61-1929"/>
    <s v="Alex"/>
    <x v="0"/>
    <s v="Normal"/>
    <x v="1"/>
    <x v="3"/>
    <n v="6419"/>
    <n v="10"/>
    <n v="32095"/>
    <n v="673995"/>
    <x v="0"/>
    <x v="64"/>
    <d v="1899-12-30T14:08:00"/>
    <s v="Credit card"/>
    <n v="6419"/>
    <n v="4761904762"/>
    <n v="32095"/>
    <n v="67"/>
    <n v="64190"/>
  </r>
  <r>
    <s v="655-07-2265"/>
    <s v="Alex"/>
    <x v="0"/>
    <s v="Normal"/>
    <x v="1"/>
    <x v="1"/>
    <n v="7831"/>
    <n v="3"/>
    <n v="117465"/>
    <n v="2466765"/>
    <x v="1"/>
    <x v="19"/>
    <d v="1899-12-30T16:38:00"/>
    <s v="Ewallet"/>
    <n v="23493"/>
    <n v="4761904762"/>
    <n v="117465"/>
    <n v="54"/>
    <n v="23493"/>
  </r>
  <r>
    <s v="589-02-8023"/>
    <s v="Alex"/>
    <x v="0"/>
    <s v="Member"/>
    <x v="1"/>
    <x v="4"/>
    <n v="8377"/>
    <n v="2"/>
    <n v="8377"/>
    <n v="175917"/>
    <x v="0"/>
    <x v="15"/>
    <d v="1899-12-30T10:54:00"/>
    <s v="Credit card"/>
    <n v="16754"/>
    <n v="4761904762"/>
    <n v="8377"/>
    <n v="7"/>
    <n v="16754"/>
  </r>
  <r>
    <s v="420-04-7590"/>
    <s v="Cairo"/>
    <x v="2"/>
    <s v="Normal"/>
    <x v="1"/>
    <x v="2"/>
    <n v="997"/>
    <n v="3"/>
    <n v="14955"/>
    <n v="314055"/>
    <x v="1"/>
    <x v="79"/>
    <d v="1899-12-30T11:29:00"/>
    <s v="Ewallet"/>
    <n v="2991"/>
    <n v="4761904762"/>
    <n v="14955"/>
    <n v="47"/>
    <n v="2991"/>
  </r>
  <r>
    <s v="182-88-2763"/>
    <s v="Cairo"/>
    <x v="2"/>
    <s v="Member"/>
    <x v="1"/>
    <x v="4"/>
    <n v="7991"/>
    <n v="3"/>
    <n v="119865"/>
    <n v="2517165"/>
    <x v="1"/>
    <x v="80"/>
    <d v="1899-12-30T19:28:00"/>
    <s v="Credit card"/>
    <n v="23973"/>
    <n v="4761904762"/>
    <n v="119865"/>
    <n v="5"/>
    <n v="23973"/>
  </r>
  <r>
    <s v="188-55-0967"/>
    <s v="Cairo"/>
    <x v="2"/>
    <s v="Member"/>
    <x v="1"/>
    <x v="0"/>
    <n v="6647"/>
    <n v="10"/>
    <n v="33235"/>
    <n v="697935"/>
    <x v="0"/>
    <x v="15"/>
    <d v="1899-12-30T15:01:00"/>
    <s v="Credit card"/>
    <n v="6647"/>
    <n v="4761904762"/>
    <n v="33235"/>
    <n v="5"/>
    <n v="66470"/>
  </r>
  <r>
    <s v="610-46-4100"/>
    <s v="Alex"/>
    <x v="0"/>
    <s v="Normal"/>
    <x v="1"/>
    <x v="0"/>
    <n v="2895"/>
    <n v="7"/>
    <n v="101325"/>
    <n v="2127825"/>
    <x v="1"/>
    <x v="2"/>
    <d v="1899-12-30T20:31:00"/>
    <s v="Credit card"/>
    <n v="20265"/>
    <n v="4761904762"/>
    <n v="101325"/>
    <n v="6"/>
    <n v="20265"/>
  </r>
  <r>
    <s v="318-81-2368"/>
    <s v="Giza"/>
    <x v="1"/>
    <s v="Normal"/>
    <x v="0"/>
    <x v="1"/>
    <n v="462"/>
    <n v="1"/>
    <n v="231"/>
    <n v="4851"/>
    <x v="1"/>
    <x v="35"/>
    <d v="1899-12-30T12:16:00"/>
    <s v="Cash"/>
    <n v="462"/>
    <n v="4761904762"/>
    <n v="231"/>
    <n v="63"/>
    <n v="462"/>
  </r>
  <r>
    <s v="364-33-8584"/>
    <s v="Cairo"/>
    <x v="2"/>
    <s v="Member"/>
    <x v="0"/>
    <x v="4"/>
    <n v="1763"/>
    <n v="5"/>
    <n v="44075"/>
    <n v="925575"/>
    <x v="1"/>
    <x v="1"/>
    <d v="1899-12-30T15:27:00"/>
    <s v="Cash"/>
    <n v="8815"/>
    <n v="4761904762"/>
    <n v="44075"/>
    <n v="85"/>
    <n v="8815"/>
  </r>
  <r>
    <s v="665-63-9737"/>
    <s v="Cairo"/>
    <x v="2"/>
    <s v="Normal"/>
    <x v="1"/>
    <x v="5"/>
    <n v="5242"/>
    <n v="3"/>
    <n v="7863"/>
    <n v="165123"/>
    <x v="2"/>
    <x v="33"/>
    <d v="1899-12-30T17:36:00"/>
    <s v="Ewallet"/>
    <n v="15726"/>
    <n v="4761904762"/>
    <n v="7863"/>
    <n v="75"/>
    <n v="15726"/>
  </r>
  <r>
    <s v="695-09-5146"/>
    <s v="Cairo"/>
    <x v="2"/>
    <s v="Member"/>
    <x v="0"/>
    <x v="4"/>
    <n v="9879"/>
    <n v="3"/>
    <n v="148185"/>
    <n v="3111885"/>
    <x v="2"/>
    <x v="55"/>
    <d v="1899-12-30T20:00:00"/>
    <s v="Ewallet"/>
    <n v="29637"/>
    <n v="4761904762"/>
    <n v="148185"/>
    <n v="64"/>
    <n v="29637"/>
  </r>
  <r>
    <s v="155-45-3814"/>
    <s v="Giza"/>
    <x v="1"/>
    <s v="Member"/>
    <x v="0"/>
    <x v="1"/>
    <n v="8855"/>
    <n v="8"/>
    <n v="3542"/>
    <n v="74382"/>
    <x v="1"/>
    <x v="35"/>
    <d v="1899-12-30T15:29:00"/>
    <s v="Ewallet"/>
    <n v="7084"/>
    <n v="4761904762"/>
    <n v="3542"/>
    <n v="47"/>
    <n v="70840"/>
  </r>
  <r>
    <s v="794-32-2436"/>
    <s v="Cairo"/>
    <x v="2"/>
    <s v="Member"/>
    <x v="1"/>
    <x v="1"/>
    <n v="5567"/>
    <n v="2"/>
    <n v="5567"/>
    <n v="116907"/>
    <x v="1"/>
    <x v="39"/>
    <d v="1899-12-30T15:08:00"/>
    <s v="Ewallet"/>
    <n v="11134"/>
    <n v="4761904762"/>
    <n v="5567"/>
    <n v="6"/>
    <n v="11134"/>
  </r>
  <r>
    <s v="131-15-8856"/>
    <s v="Giza"/>
    <x v="1"/>
    <s v="Member"/>
    <x v="0"/>
    <x v="4"/>
    <n v="7252"/>
    <n v="8"/>
    <n v="29008"/>
    <n v="609168"/>
    <x v="1"/>
    <x v="73"/>
    <d v="1899-12-30T19:26:00"/>
    <s v="Credit card"/>
    <n v="58016"/>
    <n v="4761904762"/>
    <n v="29008"/>
    <n v="4"/>
    <n v="58016"/>
  </r>
  <r>
    <s v="273-84-2164"/>
    <s v="Giza"/>
    <x v="1"/>
    <s v="Member"/>
    <x v="1"/>
    <x v="1"/>
    <n v="1205"/>
    <n v="5"/>
    <n v="30125"/>
    <n v="632625"/>
    <x v="2"/>
    <x v="69"/>
    <d v="1899-12-30T15:53:00"/>
    <s v="Ewallet"/>
    <n v="6025"/>
    <n v="4761904762"/>
    <n v="30125"/>
    <n v="55"/>
    <n v="6025"/>
  </r>
  <r>
    <s v="706-36-6154"/>
    <s v="Alex"/>
    <x v="0"/>
    <s v="Member"/>
    <x v="1"/>
    <x v="2"/>
    <n v="1936"/>
    <n v="9"/>
    <n v="8712"/>
    <n v="182952"/>
    <x v="0"/>
    <x v="68"/>
    <d v="1899-12-30T18:43:00"/>
    <s v="Ewallet"/>
    <n v="17424"/>
    <n v="4761904762"/>
    <n v="8712"/>
    <n v="87"/>
    <n v="17424"/>
  </r>
  <r>
    <s v="778-89-7974"/>
    <s v="Giza"/>
    <x v="1"/>
    <s v="Normal"/>
    <x v="1"/>
    <x v="0"/>
    <n v="7021"/>
    <n v="6"/>
    <n v="21063"/>
    <n v="442323"/>
    <x v="1"/>
    <x v="73"/>
    <d v="1899-12-30T14:58:00"/>
    <s v="Cash"/>
    <n v="42126"/>
    <n v="4761904762"/>
    <n v="21063"/>
    <n v="74"/>
    <n v="42126"/>
  </r>
  <r>
    <s v="574-31-8277"/>
    <s v="Cairo"/>
    <x v="2"/>
    <s v="Member"/>
    <x v="1"/>
    <x v="5"/>
    <n v="3363"/>
    <n v="1"/>
    <n v="16815"/>
    <n v="353115"/>
    <x v="1"/>
    <x v="80"/>
    <d v="1899-12-30T19:55:00"/>
    <s v="Cash"/>
    <n v="3363"/>
    <n v="4761904762"/>
    <n v="16815"/>
    <n v="56"/>
    <n v="3363"/>
  </r>
  <r>
    <s v="859-71-0933"/>
    <s v="Giza"/>
    <x v="1"/>
    <s v="Member"/>
    <x v="0"/>
    <x v="3"/>
    <n v="1549"/>
    <n v="2"/>
    <n v="1549"/>
    <n v="32529"/>
    <x v="0"/>
    <x v="65"/>
    <d v="1899-12-30T15:10:00"/>
    <s v="Cash"/>
    <n v="3098"/>
    <n v="4761904762"/>
    <n v="1549"/>
    <n v="63"/>
    <n v="3098"/>
  </r>
  <r>
    <s v="740-11-5257"/>
    <s v="Giza"/>
    <x v="1"/>
    <s v="Normal"/>
    <x v="1"/>
    <x v="1"/>
    <n v="2474"/>
    <n v="10"/>
    <n v="1237"/>
    <n v="25977"/>
    <x v="2"/>
    <x v="7"/>
    <d v="1899-12-30T16:44:00"/>
    <s v="Cash"/>
    <n v="2474"/>
    <n v="4761904762"/>
    <n v="1237"/>
    <n v="71"/>
    <n v="24740"/>
  </r>
  <r>
    <s v="369-82-2676"/>
    <s v="Cairo"/>
    <x v="2"/>
    <s v="Normal"/>
    <x v="1"/>
    <x v="1"/>
    <n v="7566"/>
    <n v="5"/>
    <n v="18915"/>
    <n v="397215"/>
    <x v="0"/>
    <x v="15"/>
    <d v="1899-12-30T18:22:00"/>
    <s v="Ewallet"/>
    <n v="3783"/>
    <n v="4761904762"/>
    <n v="18915"/>
    <n v="78"/>
    <n v="37830"/>
  </r>
  <r>
    <s v="563-47-4072"/>
    <s v="Cairo"/>
    <x v="2"/>
    <s v="Normal"/>
    <x v="0"/>
    <x v="0"/>
    <n v="5581"/>
    <n v="6"/>
    <n v="16743"/>
    <n v="351603"/>
    <x v="0"/>
    <x v="49"/>
    <d v="1899-12-30T11:52:00"/>
    <s v="Cash"/>
    <n v="33486"/>
    <n v="4761904762"/>
    <n v="16743"/>
    <n v="99"/>
    <n v="33486"/>
  </r>
  <r>
    <s v="742-04-5161"/>
    <s v="Alex"/>
    <x v="0"/>
    <s v="Member"/>
    <x v="1"/>
    <x v="2"/>
    <n v="7278"/>
    <n v="10"/>
    <n v="3639"/>
    <n v="76419"/>
    <x v="2"/>
    <x v="36"/>
    <d v="1899-12-30T17:24:00"/>
    <s v="Cash"/>
    <n v="7278"/>
    <n v="4761904762"/>
    <n v="3639"/>
    <n v="73"/>
    <n v="72780"/>
  </r>
  <r>
    <s v="149-15-7606"/>
    <s v="Cairo"/>
    <x v="2"/>
    <s v="Member"/>
    <x v="1"/>
    <x v="3"/>
    <n v="3732"/>
    <n v="9"/>
    <n v="16794"/>
    <n v="352674"/>
    <x v="1"/>
    <x v="43"/>
    <d v="1899-12-30T15:31:00"/>
    <s v="Ewallet"/>
    <n v="33588"/>
    <n v="4761904762"/>
    <n v="16794"/>
    <n v="51"/>
    <n v="33588"/>
  </r>
  <r>
    <s v="133-77-3154"/>
    <s v="Cairo"/>
    <x v="2"/>
    <s v="Member"/>
    <x v="1"/>
    <x v="5"/>
    <n v="6018"/>
    <n v="4"/>
    <n v="12036"/>
    <n v="252756"/>
    <x v="2"/>
    <x v="69"/>
    <d v="1899-12-30T18:04:00"/>
    <s v="Credit card"/>
    <n v="24072"/>
    <n v="4761904762"/>
    <n v="12036"/>
    <n v="94"/>
    <n v="24072"/>
  </r>
  <r>
    <s v="169-52-4504"/>
    <s v="Alex"/>
    <x v="0"/>
    <s v="Normal"/>
    <x v="0"/>
    <x v="1"/>
    <n v="1569"/>
    <n v="3"/>
    <n v="23535"/>
    <n v="494235"/>
    <x v="1"/>
    <x v="86"/>
    <d v="1899-12-30T14:13:00"/>
    <s v="Credit card"/>
    <n v="4707"/>
    <n v="4761904762"/>
    <n v="23535"/>
    <n v="58"/>
    <n v="4707"/>
  </r>
  <r>
    <s v="250-81-7186"/>
    <s v="Giza"/>
    <x v="1"/>
    <s v="Normal"/>
    <x v="0"/>
    <x v="1"/>
    <n v="9969"/>
    <n v="1"/>
    <n v="49845"/>
    <n v="1046745"/>
    <x v="2"/>
    <x v="33"/>
    <d v="1899-12-30T10:23:00"/>
    <s v="Credit card"/>
    <n v="9969"/>
    <n v="4761904762"/>
    <n v="49845"/>
    <n v="8"/>
    <n v="9969"/>
  </r>
  <r>
    <s v="562-12-5430"/>
    <s v="Alex"/>
    <x v="0"/>
    <s v="Member"/>
    <x v="0"/>
    <x v="5"/>
    <n v="8815"/>
    <n v="3"/>
    <n v="132225"/>
    <n v="2776725"/>
    <x v="0"/>
    <x v="68"/>
    <d v="1899-12-30T10:11:00"/>
    <s v="Ewallet"/>
    <n v="26445"/>
    <n v="4761904762"/>
    <n v="132225"/>
    <n v="79"/>
    <n v="26445"/>
  </r>
  <r>
    <s v="816-72-8853"/>
    <s v="Alex"/>
    <x v="0"/>
    <s v="Member"/>
    <x v="0"/>
    <x v="3"/>
    <n v="2793"/>
    <n v="5"/>
    <n v="69825"/>
    <n v="1466325"/>
    <x v="0"/>
    <x v="71"/>
    <d v="1899-12-30T15:48:00"/>
    <s v="Cash"/>
    <n v="13965"/>
    <n v="4761904762"/>
    <n v="69825"/>
    <n v="59"/>
    <n v="13965"/>
  </r>
  <r>
    <s v="491-38-3499"/>
    <s v="Alex"/>
    <x v="0"/>
    <s v="Member"/>
    <x v="1"/>
    <x v="5"/>
    <n v="5545"/>
    <n v="1"/>
    <n v="27725"/>
    <n v="582225"/>
    <x v="2"/>
    <x v="84"/>
    <d v="1899-12-30T17:46:00"/>
    <s v="Credit card"/>
    <n v="5545"/>
    <n v="4761904762"/>
    <n v="27725"/>
    <n v="49"/>
    <n v="5545"/>
  </r>
  <r>
    <s v="322-02-2271"/>
    <s v="Cairo"/>
    <x v="2"/>
    <s v="Normal"/>
    <x v="0"/>
    <x v="3"/>
    <n v="4297"/>
    <n v="3"/>
    <n v="64455"/>
    <n v="1353555"/>
    <x v="2"/>
    <x v="36"/>
    <d v="1899-12-30T11:46:00"/>
    <s v="Cash"/>
    <n v="12891"/>
    <n v="4761904762"/>
    <n v="64455"/>
    <n v="93"/>
    <n v="12891"/>
  </r>
  <r>
    <s v="842-29-4695"/>
    <s v="Giza"/>
    <x v="1"/>
    <s v="Member"/>
    <x v="1"/>
    <x v="3"/>
    <n v="1714"/>
    <n v="7"/>
    <n v="5999"/>
    <n v="125979"/>
    <x v="0"/>
    <x v="65"/>
    <d v="1899-12-30T12:07:00"/>
    <s v="Credit card"/>
    <n v="11998"/>
    <n v="4761904762"/>
    <n v="5999"/>
    <n v="79"/>
    <n v="11998"/>
  </r>
  <r>
    <s v="725-67-2480"/>
    <s v="Cairo"/>
    <x v="2"/>
    <s v="Member"/>
    <x v="0"/>
    <x v="5"/>
    <n v="5875"/>
    <n v="6"/>
    <n v="17625"/>
    <n v="370125"/>
    <x v="1"/>
    <x v="62"/>
    <d v="1899-12-30T18:14:00"/>
    <s v="Credit card"/>
    <n v="3525"/>
    <n v="4761904762"/>
    <n v="17625"/>
    <n v="59"/>
    <n v="35250"/>
  </r>
  <r>
    <s v="641-51-2661"/>
    <s v="Giza"/>
    <x v="1"/>
    <s v="Member"/>
    <x v="0"/>
    <x v="4"/>
    <n v="871"/>
    <n v="10"/>
    <n v="4355"/>
    <n v="91455"/>
    <x v="2"/>
    <x v="12"/>
    <d v="1899-12-30T14:45:00"/>
    <s v="Credit card"/>
    <n v="871"/>
    <n v="4761904762"/>
    <n v="4355"/>
    <n v="99"/>
    <n v="8710"/>
  </r>
  <r>
    <s v="714-02-3114"/>
    <s v="Giza"/>
    <x v="1"/>
    <s v="Normal"/>
    <x v="0"/>
    <x v="3"/>
    <n v="988"/>
    <n v="2"/>
    <n v="988"/>
    <n v="20748"/>
    <x v="2"/>
    <x v="81"/>
    <d v="1899-12-30T11:39:00"/>
    <s v="Cash"/>
    <n v="1976"/>
    <n v="4761904762"/>
    <n v="988"/>
    <n v="77"/>
    <n v="1976"/>
  </r>
  <r>
    <s v="518-17-2983"/>
    <s v="Alex"/>
    <x v="0"/>
    <s v="Normal"/>
    <x v="0"/>
    <x v="5"/>
    <n v="4863"/>
    <n v="4"/>
    <n v="9726"/>
    <n v="204246"/>
    <x v="2"/>
    <x v="87"/>
    <d v="1899-12-30T15:44:00"/>
    <s v="Ewallet"/>
    <n v="19452"/>
    <n v="4761904762"/>
    <n v="9726"/>
    <n v="76"/>
    <n v="19452"/>
  </r>
  <r>
    <s v="779-42-2410"/>
    <s v="Cairo"/>
    <x v="2"/>
    <s v="Member"/>
    <x v="1"/>
    <x v="4"/>
    <n v="5774"/>
    <n v="3"/>
    <n v="8661"/>
    <n v="181881"/>
    <x v="2"/>
    <x v="9"/>
    <d v="1899-12-30T13:06:00"/>
    <s v="Ewallet"/>
    <n v="17322"/>
    <n v="4761904762"/>
    <n v="8661"/>
    <n v="77"/>
    <n v="17322"/>
  </r>
  <r>
    <s v="190-14-3147"/>
    <s v="Cairo"/>
    <x v="2"/>
    <s v="Normal"/>
    <x v="0"/>
    <x v="0"/>
    <n v="1797"/>
    <n v="4"/>
    <n v="3594"/>
    <n v="75474"/>
    <x v="2"/>
    <x v="55"/>
    <d v="1899-12-30T20:43:00"/>
    <s v="Ewallet"/>
    <n v="7188"/>
    <n v="4761904762"/>
    <n v="3594"/>
    <n v="64"/>
    <n v="7188"/>
  </r>
  <r>
    <s v="408-66-6712"/>
    <s v="Giza"/>
    <x v="1"/>
    <s v="Member"/>
    <x v="0"/>
    <x v="0"/>
    <n v="4771"/>
    <n v="6"/>
    <n v="14313"/>
    <n v="300573"/>
    <x v="2"/>
    <x v="69"/>
    <d v="1899-12-30T14:19:00"/>
    <s v="Ewallet"/>
    <n v="28626"/>
    <n v="4761904762"/>
    <n v="14313"/>
    <n v="44"/>
    <n v="28626"/>
  </r>
  <r>
    <s v="679-22-6530"/>
    <s v="Cairo"/>
    <x v="2"/>
    <s v="Normal"/>
    <x v="0"/>
    <x v="3"/>
    <n v="4062"/>
    <n v="2"/>
    <n v="4062"/>
    <n v="85302"/>
    <x v="0"/>
    <x v="29"/>
    <d v="1899-12-30T10:01:00"/>
    <s v="Credit card"/>
    <n v="8124"/>
    <n v="4761904762"/>
    <n v="4062"/>
    <n v="41"/>
    <n v="8124"/>
  </r>
  <r>
    <s v="588-47-8641"/>
    <s v="Alex"/>
    <x v="0"/>
    <s v="Member"/>
    <x v="1"/>
    <x v="5"/>
    <n v="5604"/>
    <n v="10"/>
    <n v="2802"/>
    <n v="58842"/>
    <x v="0"/>
    <x v="78"/>
    <d v="1899-12-30T19:30:00"/>
    <s v="Ewallet"/>
    <n v="5604"/>
    <n v="4761904762"/>
    <n v="2802"/>
    <n v="44"/>
    <n v="56040"/>
  </r>
  <r>
    <s v="642-61-4706"/>
    <s v="Cairo"/>
    <x v="2"/>
    <s v="Member"/>
    <x v="1"/>
    <x v="4"/>
    <n v="934"/>
    <n v="2"/>
    <n v="934"/>
    <n v="19614"/>
    <x v="1"/>
    <x v="73"/>
    <d v="1899-12-30T16:34:00"/>
    <s v="Cash"/>
    <n v="1868"/>
    <n v="4761904762"/>
    <n v="934"/>
    <n v="55"/>
    <n v="1868"/>
  </r>
  <r>
    <s v="576-31-4774"/>
    <s v="Cairo"/>
    <x v="2"/>
    <s v="Normal"/>
    <x v="0"/>
    <x v="0"/>
    <n v="7341"/>
    <n v="3"/>
    <n v="110115"/>
    <n v="2312415"/>
    <x v="1"/>
    <x v="22"/>
    <d v="1899-12-30T13:10:00"/>
    <s v="Ewallet"/>
    <n v="22023"/>
    <n v="4761904762"/>
    <n v="110115"/>
    <n v="4"/>
    <n v="22023"/>
  </r>
  <r>
    <s v="556-41-6224"/>
    <s v="Giza"/>
    <x v="1"/>
    <s v="Normal"/>
    <x v="1"/>
    <x v="0"/>
    <n v="3364"/>
    <n v="8"/>
    <n v="13456"/>
    <n v="282576"/>
    <x v="2"/>
    <x v="42"/>
    <d v="1899-12-30T17:10:00"/>
    <s v="Credit card"/>
    <n v="26912"/>
    <n v="4761904762"/>
    <n v="13456"/>
    <n v="93"/>
    <n v="26912"/>
  </r>
  <r>
    <s v="811-03-8790"/>
    <s v="Alex"/>
    <x v="0"/>
    <s v="Normal"/>
    <x v="0"/>
    <x v="1"/>
    <n v="4548"/>
    <n v="10"/>
    <n v="2274"/>
    <n v="47754"/>
    <x v="1"/>
    <x v="59"/>
    <d v="1899-12-30T10:22:00"/>
    <s v="Credit card"/>
    <n v="4548"/>
    <n v="4761904762"/>
    <n v="2274"/>
    <n v="48"/>
    <n v="45480"/>
  </r>
  <r>
    <s v="242-11-3142"/>
    <s v="Cairo"/>
    <x v="2"/>
    <s v="Member"/>
    <x v="1"/>
    <x v="5"/>
    <n v="8377"/>
    <n v="2"/>
    <n v="8377"/>
    <n v="175917"/>
    <x v="2"/>
    <x v="7"/>
    <d v="1899-12-30T19:57:00"/>
    <s v="Cash"/>
    <n v="16754"/>
    <n v="4761904762"/>
    <n v="8377"/>
    <n v="46"/>
    <n v="16754"/>
  </r>
  <r>
    <s v="752-23-3760"/>
    <s v="Cairo"/>
    <x v="2"/>
    <s v="Member"/>
    <x v="0"/>
    <x v="3"/>
    <n v="6408"/>
    <n v="7"/>
    <n v="22428"/>
    <n v="470988"/>
    <x v="2"/>
    <x v="88"/>
    <d v="1899-12-30T19:29:00"/>
    <s v="Credit card"/>
    <n v="44856"/>
    <n v="4761904762"/>
    <n v="22428"/>
    <n v="73"/>
    <n v="44856"/>
  </r>
  <r>
    <s v="274-05-5470"/>
    <s v="Alex"/>
    <x v="0"/>
    <s v="Member"/>
    <x v="0"/>
    <x v="4"/>
    <n v="7347"/>
    <n v="4"/>
    <n v="14694"/>
    <n v="308574"/>
    <x v="2"/>
    <x v="55"/>
    <d v="1899-12-30T18:30:00"/>
    <s v="Cash"/>
    <n v="29388"/>
    <n v="4761904762"/>
    <n v="14694"/>
    <n v="6"/>
    <n v="29388"/>
  </r>
  <r>
    <s v="648-94-3045"/>
    <s v="Giza"/>
    <x v="1"/>
    <s v="Normal"/>
    <x v="1"/>
    <x v="0"/>
    <n v="5895"/>
    <n v="10"/>
    <n v="29475"/>
    <n v="618975"/>
    <x v="2"/>
    <x v="13"/>
    <d v="1899-12-30T14:27:00"/>
    <s v="Ewallet"/>
    <n v="5895"/>
    <n v="4761904762"/>
    <n v="29475"/>
    <n v="81"/>
    <n v="58950"/>
  </r>
  <r>
    <s v="130-67-4723"/>
    <s v="Alex"/>
    <x v="0"/>
    <s v="Member"/>
    <x v="1"/>
    <x v="4"/>
    <n v="485"/>
    <n v="6"/>
    <n v="1455"/>
    <n v="30555"/>
    <x v="0"/>
    <x v="83"/>
    <d v="1899-12-30T13:57:00"/>
    <s v="Ewallet"/>
    <n v="291"/>
    <n v="4761904762"/>
    <n v="1455"/>
    <n v="94"/>
    <n v="2910"/>
  </r>
  <r>
    <s v="528-87-5606"/>
    <s v="Cairo"/>
    <x v="2"/>
    <s v="Member"/>
    <x v="0"/>
    <x v="1"/>
    <n v="3948"/>
    <n v="1"/>
    <n v="1974"/>
    <n v="41454"/>
    <x v="2"/>
    <x v="12"/>
    <d v="1899-12-30T19:43:00"/>
    <s v="Cash"/>
    <n v="3948"/>
    <n v="4761904762"/>
    <n v="1974"/>
    <n v="65"/>
    <n v="3948"/>
  </r>
  <r>
    <s v="320-85-2052"/>
    <s v="Cairo"/>
    <x v="2"/>
    <s v="Normal"/>
    <x v="0"/>
    <x v="3"/>
    <n v="3481"/>
    <n v="1"/>
    <n v="17405"/>
    <n v="365505"/>
    <x v="0"/>
    <x v="78"/>
    <d v="1899-12-30T10:11:00"/>
    <s v="Credit card"/>
    <n v="3481"/>
    <n v="4761904762"/>
    <n v="17405"/>
    <n v="7"/>
    <n v="3481"/>
  </r>
  <r>
    <s v="370-96-0655"/>
    <s v="Giza"/>
    <x v="1"/>
    <s v="Normal"/>
    <x v="0"/>
    <x v="5"/>
    <n v="4932"/>
    <n v="6"/>
    <n v="14796"/>
    <n v="310716"/>
    <x v="0"/>
    <x v="51"/>
    <d v="1899-12-30T13:46:00"/>
    <s v="Ewallet"/>
    <n v="29592"/>
    <n v="4761904762"/>
    <n v="14796"/>
    <n v="71"/>
    <n v="29592"/>
  </r>
  <r>
    <s v="105-10-6182"/>
    <s v="Alex"/>
    <x v="0"/>
    <s v="Member"/>
    <x v="1"/>
    <x v="5"/>
    <n v="2148"/>
    <n v="2"/>
    <n v="2148"/>
    <n v="45108"/>
    <x v="2"/>
    <x v="33"/>
    <d v="1899-12-30T12:22:00"/>
    <s v="Ewallet"/>
    <n v="4296"/>
    <n v="4761904762"/>
    <n v="2148"/>
    <n v="66"/>
    <n v="4296"/>
  </r>
  <r>
    <s v="510-79-0415"/>
    <s v="Cairo"/>
    <x v="2"/>
    <s v="Member"/>
    <x v="0"/>
    <x v="3"/>
    <n v="2308"/>
    <n v="6"/>
    <n v="6924"/>
    <n v="145404"/>
    <x v="0"/>
    <x v="46"/>
    <d v="1899-12-30T19:20:00"/>
    <s v="Ewallet"/>
    <n v="13848"/>
    <n v="4761904762"/>
    <n v="6924"/>
    <n v="49"/>
    <n v="13848"/>
  </r>
  <r>
    <s v="241-96-5076"/>
    <s v="Cairo"/>
    <x v="2"/>
    <s v="Member"/>
    <x v="0"/>
    <x v="2"/>
    <n v="491"/>
    <n v="2"/>
    <n v="491"/>
    <n v="10311"/>
    <x v="0"/>
    <x v="66"/>
    <d v="1899-12-30T12:58:00"/>
    <s v="Credit card"/>
    <n v="982"/>
    <n v="4761904762"/>
    <n v="491"/>
    <n v="64"/>
    <n v="982"/>
  </r>
  <r>
    <s v="767-97-4650"/>
    <s v="Cairo"/>
    <x v="2"/>
    <s v="Member"/>
    <x v="0"/>
    <x v="3"/>
    <n v="6483"/>
    <n v="2"/>
    <n v="6483"/>
    <n v="136143"/>
    <x v="0"/>
    <x v="66"/>
    <d v="1899-12-30T11:59:00"/>
    <s v="Credit card"/>
    <n v="12966"/>
    <n v="4761904762"/>
    <n v="6483"/>
    <n v="8"/>
    <n v="12966"/>
  </r>
  <r>
    <s v="648-83-1321"/>
    <s v="Alex"/>
    <x v="0"/>
    <s v="Member"/>
    <x v="1"/>
    <x v="2"/>
    <n v="6356"/>
    <n v="10"/>
    <n v="3178"/>
    <n v="66738"/>
    <x v="0"/>
    <x v="65"/>
    <d v="1899-12-30T17:59:00"/>
    <s v="Cash"/>
    <n v="6356"/>
    <n v="4761904762"/>
    <n v="3178"/>
    <n v="43"/>
    <n v="63560"/>
  </r>
  <r>
    <s v="173-57-2300"/>
    <s v="Giza"/>
    <x v="1"/>
    <s v="Member"/>
    <x v="1"/>
    <x v="3"/>
    <n v="7288"/>
    <n v="2"/>
    <n v="7288"/>
    <n v="153048"/>
    <x v="1"/>
    <x v="45"/>
    <d v="1899-12-30T12:51:00"/>
    <s v="Cash"/>
    <n v="14576"/>
    <n v="4761904762"/>
    <n v="7288"/>
    <n v="61"/>
    <n v="14576"/>
  </r>
  <r>
    <s v="305-03-2383"/>
    <s v="Alex"/>
    <x v="0"/>
    <s v="Normal"/>
    <x v="0"/>
    <x v="4"/>
    <n v="671"/>
    <n v="3"/>
    <n v="10065"/>
    <n v="211365"/>
    <x v="2"/>
    <x v="42"/>
    <d v="1899-12-30T10:36:00"/>
    <s v="Cash"/>
    <n v="2013"/>
    <n v="4761904762"/>
    <n v="10065"/>
    <n v="75"/>
    <n v="2013"/>
  </r>
  <r>
    <s v="394-55-6384"/>
    <s v="Giza"/>
    <x v="1"/>
    <s v="Member"/>
    <x v="0"/>
    <x v="3"/>
    <n v="7019"/>
    <n v="9"/>
    <n v="315855"/>
    <n v="6632955"/>
    <x v="0"/>
    <x v="25"/>
    <d v="1899-12-30T13:38:00"/>
    <s v="Cash"/>
    <n v="63171"/>
    <n v="4761904762"/>
    <n v="315855"/>
    <n v="67"/>
    <n v="63171"/>
  </r>
  <r>
    <s v="266-20-6657"/>
    <s v="Giza"/>
    <x v="1"/>
    <s v="Member"/>
    <x v="1"/>
    <x v="4"/>
    <n v="5504"/>
    <n v="7"/>
    <n v="19264"/>
    <n v="404544"/>
    <x v="1"/>
    <x v="41"/>
    <d v="1899-12-30T19:39:00"/>
    <s v="Ewallet"/>
    <n v="38528"/>
    <n v="4761904762"/>
    <n v="19264"/>
    <n v="52"/>
    <n v="38528"/>
  </r>
  <r>
    <s v="689-05-1884"/>
    <s v="Alex"/>
    <x v="0"/>
    <s v="Member"/>
    <x v="1"/>
    <x v="0"/>
    <n v="4863"/>
    <n v="10"/>
    <n v="24315"/>
    <n v="510615"/>
    <x v="1"/>
    <x v="31"/>
    <d v="1899-12-30T12:44:00"/>
    <s v="Cash"/>
    <n v="4863"/>
    <n v="4761904762"/>
    <n v="24315"/>
    <n v="88"/>
    <n v="48630"/>
  </r>
  <r>
    <s v="196-01-2849"/>
    <s v="Giza"/>
    <x v="1"/>
    <s v="Member"/>
    <x v="0"/>
    <x v="5"/>
    <n v="7338"/>
    <n v="7"/>
    <n v="25683"/>
    <n v="539343"/>
    <x v="2"/>
    <x v="34"/>
    <d v="1899-12-30T13:56:00"/>
    <s v="Cash"/>
    <n v="51366"/>
    <n v="4761904762"/>
    <n v="25683"/>
    <n v="95"/>
    <n v="51366"/>
  </r>
  <r>
    <s v="372-62-5264"/>
    <s v="Giza"/>
    <x v="1"/>
    <s v="Normal"/>
    <x v="0"/>
    <x v="4"/>
    <n v="526"/>
    <n v="9"/>
    <n v="2367"/>
    <n v="49707"/>
    <x v="0"/>
    <x v="65"/>
    <d v="1899-12-30T14:42:00"/>
    <s v="Cash"/>
    <n v="4734"/>
    <n v="4761904762"/>
    <n v="2367"/>
    <n v="76"/>
    <n v="4734"/>
  </r>
  <r>
    <s v="800-09-8606"/>
    <s v="Alex"/>
    <x v="0"/>
    <s v="Member"/>
    <x v="0"/>
    <x v="2"/>
    <n v="8737"/>
    <n v="5"/>
    <n v="218425"/>
    <n v="4586925"/>
    <x v="0"/>
    <x v="71"/>
    <d v="1899-12-30T19:45:00"/>
    <s v="Cash"/>
    <n v="43685"/>
    <n v="4761904762"/>
    <n v="218425"/>
    <n v="66"/>
    <n v="43685"/>
  </r>
  <r>
    <s v="182-52-7000"/>
    <s v="Alex"/>
    <x v="0"/>
    <s v="Member"/>
    <x v="0"/>
    <x v="3"/>
    <n v="2704"/>
    <n v="4"/>
    <n v="5408"/>
    <n v="113568"/>
    <x v="0"/>
    <x v="17"/>
    <d v="1899-12-30T20:26:00"/>
    <s v="Ewallet"/>
    <n v="10816"/>
    <n v="4761904762"/>
    <n v="5408"/>
    <n v="69"/>
    <n v="10816"/>
  </r>
  <r>
    <s v="826-58-8051"/>
    <s v="Cairo"/>
    <x v="2"/>
    <s v="Normal"/>
    <x v="1"/>
    <x v="2"/>
    <n v="6219"/>
    <n v="4"/>
    <n v="12438"/>
    <n v="261198"/>
    <x v="0"/>
    <x v="47"/>
    <d v="1899-12-30T19:46:00"/>
    <s v="Ewallet"/>
    <n v="24876"/>
    <n v="4761904762"/>
    <n v="12438"/>
    <n v="43"/>
    <n v="24876"/>
  </r>
  <r>
    <s v="868-06-0466"/>
    <s v="Alex"/>
    <x v="0"/>
    <s v="Member"/>
    <x v="1"/>
    <x v="1"/>
    <n v="6958"/>
    <n v="9"/>
    <n v="31311"/>
    <n v="657531"/>
    <x v="2"/>
    <x v="88"/>
    <d v="1899-12-30T19:38:00"/>
    <s v="Credit card"/>
    <n v="62622"/>
    <n v="4761904762"/>
    <n v="31311"/>
    <n v="78"/>
    <n v="62622"/>
  </r>
  <r>
    <s v="751-41-9720"/>
    <s v="Giza"/>
    <x v="1"/>
    <s v="Normal"/>
    <x v="1"/>
    <x v="2"/>
    <n v="975"/>
    <n v="10"/>
    <n v="4875"/>
    <n v="102375"/>
    <x v="0"/>
    <x v="52"/>
    <d v="1899-12-30T16:18:00"/>
    <s v="Ewallet"/>
    <n v="975"/>
    <n v="4761904762"/>
    <n v="4875"/>
    <n v="8"/>
    <n v="9750"/>
  </r>
  <r>
    <s v="626-43-7888"/>
    <s v="Giza"/>
    <x v="1"/>
    <s v="Normal"/>
    <x v="0"/>
    <x v="5"/>
    <n v="6041"/>
    <n v="8"/>
    <n v="24164"/>
    <n v="507444"/>
    <x v="2"/>
    <x v="13"/>
    <d v="1899-12-30T12:23:00"/>
    <s v="Ewallet"/>
    <n v="48328"/>
    <n v="4761904762"/>
    <n v="24164"/>
    <n v="96"/>
    <n v="48328"/>
  </r>
  <r>
    <s v="176-64-7711"/>
    <s v="Cairo"/>
    <x v="2"/>
    <s v="Normal"/>
    <x v="1"/>
    <x v="4"/>
    <n v="3232"/>
    <n v="3"/>
    <n v="4848"/>
    <n v="101808"/>
    <x v="1"/>
    <x v="39"/>
    <d v="1899-12-30T19:11:00"/>
    <s v="Credit card"/>
    <n v="9696"/>
    <n v="4761904762"/>
    <n v="4848"/>
    <n v="43"/>
    <n v="9696"/>
  </r>
  <r>
    <s v="191-29-0321"/>
    <s v="Cairo"/>
    <x v="2"/>
    <s v="Member"/>
    <x v="0"/>
    <x v="5"/>
    <n v="1977"/>
    <n v="10"/>
    <n v="9885"/>
    <n v="207585"/>
    <x v="2"/>
    <x v="33"/>
    <d v="1899-12-30T18:57:00"/>
    <s v="Credit card"/>
    <n v="1977"/>
    <n v="4761904762"/>
    <n v="9885"/>
    <n v="5"/>
    <n v="19770"/>
  </r>
  <r>
    <s v="729-06-2010"/>
    <s v="Cairo"/>
    <x v="2"/>
    <s v="Member"/>
    <x v="1"/>
    <x v="0"/>
    <n v="8047"/>
    <n v="9"/>
    <n v="362115"/>
    <n v="7604415"/>
    <x v="0"/>
    <x v="47"/>
    <d v="1899-12-30T11:18:00"/>
    <s v="Cash"/>
    <n v="72423"/>
    <n v="4761904762"/>
    <n v="362115"/>
    <n v="92"/>
    <n v="72423"/>
  </r>
  <r>
    <s v="640-48-5028"/>
    <s v="Cairo"/>
    <x v="2"/>
    <s v="Member"/>
    <x v="0"/>
    <x v="2"/>
    <n v="8839"/>
    <n v="9"/>
    <n v="397755"/>
    <n v="8352855"/>
    <x v="1"/>
    <x v="22"/>
    <d v="1899-12-30T12:40:00"/>
    <s v="Cash"/>
    <n v="79551"/>
    <n v="4761904762"/>
    <n v="397755"/>
    <n v="63"/>
    <n v="79551"/>
  </r>
  <r>
    <s v="186-79-9562"/>
    <s v="Cairo"/>
    <x v="2"/>
    <s v="Normal"/>
    <x v="1"/>
    <x v="0"/>
    <n v="7177"/>
    <n v="7"/>
    <n v="251195"/>
    <n v="5275095"/>
    <x v="1"/>
    <x v="14"/>
    <d v="1899-12-30T14:06:00"/>
    <s v="Cash"/>
    <n v="50239"/>
    <n v="4761904762"/>
    <n v="251195"/>
    <n v="89"/>
    <n v="50239"/>
  </r>
  <r>
    <s v="834-45-5519"/>
    <s v="Cairo"/>
    <x v="2"/>
    <s v="Normal"/>
    <x v="0"/>
    <x v="1"/>
    <n v="43"/>
    <n v="4"/>
    <n v="86"/>
    <n v="1806"/>
    <x v="0"/>
    <x v="82"/>
    <d v="1899-12-30T20:48:00"/>
    <s v="Ewallet"/>
    <n v="172"/>
    <n v="4761904762"/>
    <n v="86"/>
    <n v="76"/>
    <n v="172"/>
  </r>
  <r>
    <s v="162-65-8559"/>
    <s v="Giza"/>
    <x v="1"/>
    <s v="Member"/>
    <x v="1"/>
    <x v="4"/>
    <n v="6898"/>
    <n v="1"/>
    <n v="3449"/>
    <n v="72429"/>
    <x v="0"/>
    <x v="18"/>
    <d v="1899-12-30T20:13:00"/>
    <s v="Cash"/>
    <n v="6898"/>
    <n v="4761904762"/>
    <n v="3449"/>
    <n v="48"/>
    <n v="6898"/>
  </r>
  <r>
    <s v="760-27-5490"/>
    <s v="Giza"/>
    <x v="1"/>
    <s v="Normal"/>
    <x v="1"/>
    <x v="5"/>
    <n v="1562"/>
    <n v="8"/>
    <n v="6248"/>
    <n v="131208"/>
    <x v="0"/>
    <x v="40"/>
    <d v="1899-12-30T20:37:00"/>
    <s v="Ewallet"/>
    <n v="12496"/>
    <n v="4761904762"/>
    <n v="6248"/>
    <n v="91"/>
    <n v="12496"/>
  </r>
  <r>
    <s v="445-30-9252"/>
    <s v="Alex"/>
    <x v="0"/>
    <s v="Normal"/>
    <x v="1"/>
    <x v="3"/>
    <n v="257"/>
    <n v="3"/>
    <n v="3855"/>
    <n v="80955"/>
    <x v="0"/>
    <x v="29"/>
    <d v="1899-12-30T17:59:00"/>
    <s v="Ewallet"/>
    <n v="771"/>
    <n v="4761904762"/>
    <n v="3855"/>
    <n v="61"/>
    <n v="771"/>
  </r>
  <r>
    <s v="786-94-2700"/>
    <s v="Alex"/>
    <x v="0"/>
    <s v="Member"/>
    <x v="1"/>
    <x v="4"/>
    <n v="8062"/>
    <n v="6"/>
    <n v="24186"/>
    <n v="507906"/>
    <x v="2"/>
    <x v="38"/>
    <d v="1899-12-30T20:18:00"/>
    <s v="Cash"/>
    <n v="48372"/>
    <n v="4761904762"/>
    <n v="24186"/>
    <n v="91"/>
    <n v="48372"/>
  </r>
  <r>
    <s v="728-88-7867"/>
    <s v="Giza"/>
    <x v="1"/>
    <s v="Member"/>
    <x v="0"/>
    <x v="2"/>
    <n v="7553"/>
    <n v="4"/>
    <n v="15106"/>
    <n v="317226"/>
    <x v="1"/>
    <x v="35"/>
    <d v="1899-12-30T15:52:00"/>
    <s v="Ewallet"/>
    <n v="30212"/>
    <n v="4761904762"/>
    <n v="15106"/>
    <n v="83"/>
    <n v="30212"/>
  </r>
  <r>
    <s v="183-21-3799"/>
    <s v="Giza"/>
    <x v="1"/>
    <s v="Normal"/>
    <x v="0"/>
    <x v="1"/>
    <n v="7763"/>
    <n v="9"/>
    <n v="349335"/>
    <n v="7336035"/>
    <x v="2"/>
    <x v="88"/>
    <d v="1899-12-30T15:14:00"/>
    <s v="Ewallet"/>
    <n v="69867"/>
    <n v="4761904762"/>
    <n v="349335"/>
    <n v="72"/>
    <n v="69867"/>
  </r>
  <r>
    <s v="268-20-3585"/>
    <s v="Giza"/>
    <x v="1"/>
    <s v="Normal"/>
    <x v="0"/>
    <x v="0"/>
    <n v="1385"/>
    <n v="9"/>
    <n v="62325"/>
    <n v="1308825"/>
    <x v="2"/>
    <x v="87"/>
    <d v="1899-12-30T12:50:00"/>
    <s v="Ewallet"/>
    <n v="12465"/>
    <n v="4761904762"/>
    <n v="62325"/>
    <n v="6"/>
    <n v="12465"/>
  </r>
  <r>
    <s v="735-32-9839"/>
    <s v="Giza"/>
    <x v="1"/>
    <s v="Member"/>
    <x v="1"/>
    <x v="5"/>
    <n v="987"/>
    <n v="8"/>
    <n v="3948"/>
    <n v="82908"/>
    <x v="0"/>
    <x v="82"/>
    <d v="1899-12-30T10:36:00"/>
    <s v="Ewallet"/>
    <n v="7896"/>
    <n v="4761904762"/>
    <n v="3948"/>
    <n v="85"/>
    <n v="7896"/>
  </r>
  <r>
    <s v="258-92-7466"/>
    <s v="Alex"/>
    <x v="0"/>
    <s v="Normal"/>
    <x v="0"/>
    <x v="0"/>
    <n v="3568"/>
    <n v="5"/>
    <n v="892"/>
    <n v="18732"/>
    <x v="2"/>
    <x v="10"/>
    <d v="1899-12-30T18:33:00"/>
    <s v="Credit card"/>
    <n v="1784"/>
    <n v="4761904762"/>
    <n v="892"/>
    <n v="66"/>
    <n v="17840"/>
  </r>
  <r>
    <s v="857-16-3520"/>
    <s v="Alex"/>
    <x v="0"/>
    <s v="Member"/>
    <x v="0"/>
    <x v="5"/>
    <n v="7146"/>
    <n v="7"/>
    <n v="25011"/>
    <n v="525231"/>
    <x v="1"/>
    <x v="61"/>
    <d v="1899-12-30T16:06:00"/>
    <s v="Ewallet"/>
    <n v="50022"/>
    <n v="4761904762"/>
    <n v="25011"/>
    <n v="45"/>
    <n v="50022"/>
  </r>
  <r>
    <s v="482-17-1179"/>
    <s v="Alex"/>
    <x v="0"/>
    <s v="Member"/>
    <x v="1"/>
    <x v="1"/>
    <n v="1194"/>
    <n v="3"/>
    <n v="1791"/>
    <n v="37611"/>
    <x v="0"/>
    <x v="64"/>
    <d v="1899-12-30T12:47:00"/>
    <s v="Credit card"/>
    <n v="3582"/>
    <n v="4761904762"/>
    <n v="1791"/>
    <n v="81"/>
    <n v="3582"/>
  </r>
  <r>
    <s v="788-21-5741"/>
    <s v="Alex"/>
    <x v="0"/>
    <s v="Normal"/>
    <x v="1"/>
    <x v="5"/>
    <n v="4538"/>
    <n v="3"/>
    <n v="6807"/>
    <n v="142947"/>
    <x v="2"/>
    <x v="21"/>
    <d v="1899-12-30T13:34:00"/>
    <s v="Credit card"/>
    <n v="13614"/>
    <n v="4761904762"/>
    <n v="6807"/>
    <n v="72"/>
    <n v="13614"/>
  </r>
  <r>
    <s v="821-14-9046"/>
    <s v="Cairo"/>
    <x v="2"/>
    <s v="Member"/>
    <x v="0"/>
    <x v="5"/>
    <n v="1748"/>
    <n v="6"/>
    <n v="5244"/>
    <n v="110124"/>
    <x v="0"/>
    <x v="68"/>
    <d v="1899-12-30T15:04:00"/>
    <s v="Credit card"/>
    <n v="10488"/>
    <n v="4761904762"/>
    <n v="5244"/>
    <n v="61"/>
    <n v="10488"/>
  </r>
  <r>
    <s v="418-05-0656"/>
    <s v="Cairo"/>
    <x v="2"/>
    <s v="Normal"/>
    <x v="0"/>
    <x v="5"/>
    <n v="2556"/>
    <n v="7"/>
    <n v="8946"/>
    <n v="187866"/>
    <x v="2"/>
    <x v="30"/>
    <d v="1899-12-30T20:42:00"/>
    <s v="Cash"/>
    <n v="17892"/>
    <n v="4761904762"/>
    <n v="8946"/>
    <n v="71"/>
    <n v="17892"/>
  </r>
  <r>
    <s v="678-79-0726"/>
    <s v="Giza"/>
    <x v="1"/>
    <s v="Member"/>
    <x v="0"/>
    <x v="3"/>
    <n v="9063"/>
    <n v="9"/>
    <n v="407835"/>
    <n v="8564535"/>
    <x v="0"/>
    <x v="68"/>
    <d v="1899-12-30T15:28:00"/>
    <s v="Cash"/>
    <n v="81567"/>
    <n v="4761904762"/>
    <n v="407835"/>
    <n v="51"/>
    <n v="81567"/>
  </r>
  <r>
    <s v="776-68-1096"/>
    <s v="Cairo"/>
    <x v="2"/>
    <s v="Normal"/>
    <x v="1"/>
    <x v="2"/>
    <n v="4412"/>
    <n v="3"/>
    <n v="6618"/>
    <n v="138978"/>
    <x v="1"/>
    <x v="79"/>
    <d v="1899-12-30T13:45:00"/>
    <s v="Credit card"/>
    <n v="13236"/>
    <n v="4761904762"/>
    <n v="6618"/>
    <n v="79"/>
    <n v="13236"/>
  </r>
  <r>
    <s v="592-46-1692"/>
    <s v="Giza"/>
    <x v="1"/>
    <s v="Member"/>
    <x v="0"/>
    <x v="4"/>
    <n v="3677"/>
    <n v="7"/>
    <n v="128695"/>
    <n v="2702595"/>
    <x v="0"/>
    <x v="83"/>
    <d v="1899-12-30T20:10:00"/>
    <s v="Cash"/>
    <n v="25739"/>
    <n v="4761904762"/>
    <n v="128695"/>
    <n v="74"/>
    <n v="25739"/>
  </r>
  <r>
    <s v="434-35-9162"/>
    <s v="Cairo"/>
    <x v="2"/>
    <s v="Member"/>
    <x v="1"/>
    <x v="4"/>
    <n v="2334"/>
    <n v="4"/>
    <n v="4668"/>
    <n v="98028"/>
    <x v="2"/>
    <x v="87"/>
    <d v="1899-12-30T18:53:00"/>
    <s v="Ewallet"/>
    <n v="9336"/>
    <n v="4761904762"/>
    <n v="4668"/>
    <n v="74"/>
    <n v="9336"/>
  </r>
  <r>
    <s v="149-14-0304"/>
    <s v="Giza"/>
    <x v="1"/>
    <s v="Member"/>
    <x v="0"/>
    <x v="0"/>
    <n v="285"/>
    <n v="8"/>
    <n v="114"/>
    <n v="2394"/>
    <x v="2"/>
    <x v="10"/>
    <d v="1899-12-30T14:24:00"/>
    <s v="Cash"/>
    <n v="228"/>
    <n v="4761904762"/>
    <n v="114"/>
    <n v="66"/>
    <n v="2280"/>
  </r>
  <r>
    <s v="442-44-6497"/>
    <s v="Giza"/>
    <x v="1"/>
    <s v="Member"/>
    <x v="1"/>
    <x v="2"/>
    <n v="5557"/>
    <n v="3"/>
    <n v="83355"/>
    <n v="1750455"/>
    <x v="0"/>
    <x v="66"/>
    <d v="1899-12-30T11:42:00"/>
    <s v="Credit card"/>
    <n v="16671"/>
    <n v="4761904762"/>
    <n v="83355"/>
    <n v="59"/>
    <n v="16671"/>
  </r>
  <r>
    <s v="174-64-0215"/>
    <s v="Cairo"/>
    <x v="2"/>
    <s v="Normal"/>
    <x v="1"/>
    <x v="3"/>
    <n v="6974"/>
    <n v="10"/>
    <n v="3487"/>
    <n v="73227"/>
    <x v="1"/>
    <x v="19"/>
    <d v="1899-12-30T17:49:00"/>
    <s v="Credit card"/>
    <n v="6974"/>
    <n v="4761904762"/>
    <n v="3487"/>
    <n v="89"/>
    <n v="69740"/>
  </r>
  <r>
    <s v="210-74-9613"/>
    <s v="Giza"/>
    <x v="1"/>
    <s v="Normal"/>
    <x v="1"/>
    <x v="5"/>
    <n v="9726"/>
    <n v="4"/>
    <n v="19452"/>
    <n v="408492"/>
    <x v="1"/>
    <x v="32"/>
    <d v="1899-12-30T15:33:00"/>
    <s v="Ewallet"/>
    <n v="38904"/>
    <n v="4761904762"/>
    <n v="19452"/>
    <n v="68"/>
    <n v="38904"/>
  </r>
  <r>
    <s v="299-29-0180"/>
    <s v="Cairo"/>
    <x v="2"/>
    <s v="Member"/>
    <x v="0"/>
    <x v="2"/>
    <n v="5218"/>
    <n v="7"/>
    <n v="18263"/>
    <n v="383523"/>
    <x v="1"/>
    <x v="11"/>
    <d v="1899-12-30T10:54:00"/>
    <s v="Cash"/>
    <n v="36526"/>
    <n v="4761904762"/>
    <n v="18263"/>
    <n v="93"/>
    <n v="36526"/>
  </r>
  <r>
    <s v="247-11-2470"/>
    <s v="Alex"/>
    <x v="0"/>
    <s v="Member"/>
    <x v="0"/>
    <x v="5"/>
    <n v="2232"/>
    <n v="4"/>
    <n v="4464"/>
    <n v="93744"/>
    <x v="1"/>
    <x v="59"/>
    <d v="1899-12-30T16:23:00"/>
    <s v="Credit card"/>
    <n v="8928"/>
    <n v="4761904762"/>
    <n v="4464"/>
    <n v="44"/>
    <n v="8928"/>
  </r>
  <r>
    <s v="635-28-5728"/>
    <s v="Alex"/>
    <x v="0"/>
    <s v="Normal"/>
    <x v="1"/>
    <x v="0"/>
    <n v="56"/>
    <n v="3"/>
    <n v="84"/>
    <n v="1764"/>
    <x v="2"/>
    <x v="38"/>
    <d v="1899-12-30T19:33:00"/>
    <s v="Ewallet"/>
    <n v="168"/>
    <n v="4761904762"/>
    <n v="84"/>
    <n v="48"/>
    <n v="168"/>
  </r>
  <r>
    <s v="756-49-0168"/>
    <s v="Alex"/>
    <x v="0"/>
    <s v="Member"/>
    <x v="1"/>
    <x v="5"/>
    <n v="197"/>
    <n v="1"/>
    <n v="985"/>
    <n v="20685"/>
    <x v="2"/>
    <x v="4"/>
    <d v="1899-12-30T11:39:00"/>
    <s v="Ewallet"/>
    <n v="197"/>
    <n v="4761904762"/>
    <n v="985"/>
    <n v="95"/>
    <n v="197"/>
  </r>
  <r>
    <s v="438-23-1242"/>
    <s v="Cairo"/>
    <x v="2"/>
    <s v="Normal"/>
    <x v="1"/>
    <x v="1"/>
    <n v="7588"/>
    <n v="7"/>
    <n v="26558"/>
    <n v="557718"/>
    <x v="0"/>
    <x v="46"/>
    <d v="1899-12-30T10:38:00"/>
    <s v="Ewallet"/>
    <n v="53116"/>
    <n v="4761904762"/>
    <n v="26558"/>
    <n v="89"/>
    <n v="53116"/>
  </r>
  <r>
    <s v="238-45-6950"/>
    <s v="Cairo"/>
    <x v="2"/>
    <s v="Member"/>
    <x v="1"/>
    <x v="4"/>
    <n v="5372"/>
    <n v="1"/>
    <n v="2686"/>
    <n v="56406"/>
    <x v="1"/>
    <x v="59"/>
    <d v="1899-12-30T20:03:00"/>
    <s v="Ewallet"/>
    <n v="5372"/>
    <n v="4761904762"/>
    <n v="2686"/>
    <n v="64"/>
    <n v="5372"/>
  </r>
  <r>
    <s v="607-65-2441"/>
    <s v="Giza"/>
    <x v="1"/>
    <s v="Member"/>
    <x v="1"/>
    <x v="0"/>
    <n v="8195"/>
    <n v="10"/>
    <n v="40975"/>
    <n v="860475"/>
    <x v="1"/>
    <x v="24"/>
    <d v="1899-12-30T12:39:00"/>
    <s v="Credit card"/>
    <n v="8195"/>
    <n v="4761904762"/>
    <n v="40975"/>
    <n v="6"/>
    <n v="81950"/>
  </r>
  <r>
    <s v="386-27-7606"/>
    <s v="Giza"/>
    <x v="1"/>
    <s v="Member"/>
    <x v="0"/>
    <x v="2"/>
    <n v="812"/>
    <n v="7"/>
    <n v="2842"/>
    <n v="59682"/>
    <x v="1"/>
    <x v="28"/>
    <d v="1899-12-30T15:59:00"/>
    <s v="Credit card"/>
    <n v="5684"/>
    <n v="4761904762"/>
    <n v="2842"/>
    <n v="81"/>
    <n v="5684"/>
  </r>
  <r>
    <s v="137-63-5492"/>
    <s v="Giza"/>
    <x v="1"/>
    <s v="Normal"/>
    <x v="1"/>
    <x v="1"/>
    <n v="5876"/>
    <n v="10"/>
    <n v="2938"/>
    <n v="61698"/>
    <x v="0"/>
    <x v="71"/>
    <d v="1899-12-30T14:26:00"/>
    <s v="Ewallet"/>
    <n v="5876"/>
    <n v="4761904762"/>
    <n v="2938"/>
    <n v="9"/>
    <n v="58760"/>
  </r>
  <r>
    <s v="197-77-7132"/>
    <s v="Cairo"/>
    <x v="2"/>
    <s v="Member"/>
    <x v="1"/>
    <x v="1"/>
    <n v="9156"/>
    <n v="8"/>
    <n v="36624"/>
    <n v="769104"/>
    <x v="0"/>
    <x v="52"/>
    <d v="1899-12-30T18:22:00"/>
    <s v="Ewallet"/>
    <n v="73248"/>
    <n v="4761904762"/>
    <n v="36624"/>
    <n v="6"/>
    <n v="73248"/>
  </r>
  <r>
    <s v="805-86-0265"/>
    <s v="Alex"/>
    <x v="0"/>
    <s v="Normal"/>
    <x v="1"/>
    <x v="2"/>
    <n v="9396"/>
    <n v="9"/>
    <n v="42282"/>
    <n v="887922"/>
    <x v="1"/>
    <x v="80"/>
    <d v="1899-12-30T11:32:00"/>
    <s v="Cash"/>
    <n v="84564"/>
    <n v="4761904762"/>
    <n v="42282"/>
    <n v="98"/>
    <n v="84564"/>
  </r>
  <r>
    <s v="733-29-1227"/>
    <s v="Giza"/>
    <x v="1"/>
    <s v="Normal"/>
    <x v="1"/>
    <x v="2"/>
    <n v="5561"/>
    <n v="7"/>
    <n v="194635"/>
    <n v="4087335"/>
    <x v="1"/>
    <x v="28"/>
    <d v="1899-12-30T12:41:00"/>
    <s v="Cash"/>
    <n v="38927"/>
    <n v="4761904762"/>
    <n v="194635"/>
    <n v="85"/>
    <n v="38927"/>
  </r>
  <r>
    <s v="451-73-2711"/>
    <s v="Giza"/>
    <x v="1"/>
    <s v="Normal"/>
    <x v="1"/>
    <x v="4"/>
    <n v="8483"/>
    <n v="1"/>
    <n v="42415"/>
    <n v="890715"/>
    <x v="0"/>
    <x v="78"/>
    <d v="1899-12-30T15:20:00"/>
    <s v="Ewallet"/>
    <n v="8483"/>
    <n v="4761904762"/>
    <n v="42415"/>
    <n v="88"/>
    <n v="8483"/>
  </r>
  <r>
    <s v="373-14-0504"/>
    <s v="Alex"/>
    <x v="0"/>
    <s v="Member"/>
    <x v="0"/>
    <x v="3"/>
    <n v="7163"/>
    <n v="2"/>
    <n v="7163"/>
    <n v="150423"/>
    <x v="2"/>
    <x v="12"/>
    <d v="1899-12-30T14:33:00"/>
    <s v="Ewallet"/>
    <n v="14326"/>
    <n v="4761904762"/>
    <n v="7163"/>
    <n v="88"/>
    <n v="14326"/>
  </r>
  <r>
    <s v="546-80-2899"/>
    <s v="Alex"/>
    <x v="0"/>
    <s v="Member"/>
    <x v="1"/>
    <x v="2"/>
    <n v="3769"/>
    <n v="2"/>
    <n v="3769"/>
    <n v="79149"/>
    <x v="2"/>
    <x v="9"/>
    <d v="1899-12-30T15:29:00"/>
    <s v="Ewallet"/>
    <n v="7538"/>
    <n v="4761904762"/>
    <n v="3769"/>
    <n v="95"/>
    <n v="7538"/>
  </r>
  <r>
    <s v="345-68-9016"/>
    <s v="Giza"/>
    <x v="1"/>
    <s v="Member"/>
    <x v="0"/>
    <x v="3"/>
    <n v="3167"/>
    <n v="8"/>
    <n v="12668"/>
    <n v="266028"/>
    <x v="0"/>
    <x v="56"/>
    <d v="1899-12-30T16:19:00"/>
    <s v="Credit card"/>
    <n v="25336"/>
    <n v="4761904762"/>
    <n v="12668"/>
    <n v="56"/>
    <n v="25336"/>
  </r>
  <r>
    <s v="390-17-5806"/>
    <s v="Giza"/>
    <x v="1"/>
    <s v="Member"/>
    <x v="0"/>
    <x v="4"/>
    <n v="3842"/>
    <n v="1"/>
    <n v="1921"/>
    <n v="40341"/>
    <x v="2"/>
    <x v="30"/>
    <d v="1899-12-30T16:33:00"/>
    <s v="Cash"/>
    <n v="3842"/>
    <n v="4761904762"/>
    <n v="1921"/>
    <n v="86"/>
    <n v="3842"/>
  </r>
  <r>
    <s v="457-13-1708"/>
    <s v="Cairo"/>
    <x v="2"/>
    <s v="Member"/>
    <x v="1"/>
    <x v="5"/>
    <n v="6523"/>
    <n v="10"/>
    <n v="32615"/>
    <n v="684915"/>
    <x v="0"/>
    <x v="66"/>
    <d v="1899-12-30T19:07:00"/>
    <s v="Credit card"/>
    <n v="6523"/>
    <n v="4761904762"/>
    <n v="32615"/>
    <n v="52"/>
    <n v="65230"/>
  </r>
  <r>
    <s v="664-14-2882"/>
    <s v="Giza"/>
    <x v="1"/>
    <s v="Member"/>
    <x v="0"/>
    <x v="2"/>
    <n v="1053"/>
    <n v="5"/>
    <n v="26325"/>
    <n v="552825"/>
    <x v="0"/>
    <x v="74"/>
    <d v="1899-12-30T14:43:00"/>
    <s v="Credit card"/>
    <n v="5265"/>
    <n v="4761904762"/>
    <n v="26325"/>
    <n v="58"/>
    <n v="5265"/>
  </r>
  <r>
    <s v="487-79-6868"/>
    <s v="Cairo"/>
    <x v="2"/>
    <s v="Member"/>
    <x v="0"/>
    <x v="2"/>
    <n v="1229"/>
    <n v="9"/>
    <n v="55305"/>
    <n v="1161405"/>
    <x v="1"/>
    <x v="58"/>
    <d v="1899-12-30T19:28:00"/>
    <s v="Credit card"/>
    <n v="11061"/>
    <n v="4761904762"/>
    <n v="55305"/>
    <n v="8"/>
    <n v="11061"/>
  </r>
  <r>
    <s v="314-23-4520"/>
    <s v="Giza"/>
    <x v="1"/>
    <s v="Member"/>
    <x v="1"/>
    <x v="0"/>
    <n v="8123"/>
    <n v="7"/>
    <n v="284305"/>
    <n v="5970405"/>
    <x v="0"/>
    <x v="15"/>
    <d v="1899-12-30T20:44:00"/>
    <s v="Cash"/>
    <n v="56861"/>
    <n v="4761904762"/>
    <n v="284305"/>
    <n v="9"/>
    <n v="56861"/>
  </r>
  <r>
    <s v="210-30-7976"/>
    <s v="Cairo"/>
    <x v="2"/>
    <s v="Member"/>
    <x v="0"/>
    <x v="5"/>
    <n v="2232"/>
    <n v="4"/>
    <n v="4464"/>
    <n v="93744"/>
    <x v="1"/>
    <x v="86"/>
    <d v="1899-12-30T11:16:00"/>
    <s v="Ewallet"/>
    <n v="8928"/>
    <n v="4761904762"/>
    <n v="4464"/>
    <n v="41"/>
    <n v="8928"/>
  </r>
  <r>
    <s v="585-86-8361"/>
    <s v="Alex"/>
    <x v="0"/>
    <s v="Normal"/>
    <x v="0"/>
    <x v="4"/>
    <n v="2728"/>
    <n v="5"/>
    <n v="682"/>
    <n v="14322"/>
    <x v="2"/>
    <x v="36"/>
    <d v="1899-12-30T10:31:00"/>
    <s v="Credit card"/>
    <n v="1364"/>
    <n v="4761904762"/>
    <n v="682"/>
    <n v="86"/>
    <n v="13640"/>
  </r>
  <r>
    <s v="807-14-7833"/>
    <s v="Alex"/>
    <x v="0"/>
    <s v="Member"/>
    <x v="0"/>
    <x v="1"/>
    <n v="1742"/>
    <n v="10"/>
    <n v="871"/>
    <n v="18291"/>
    <x v="2"/>
    <x v="70"/>
    <d v="1899-12-30T12:30:00"/>
    <s v="Ewallet"/>
    <n v="1742"/>
    <n v="4761904762"/>
    <n v="871"/>
    <n v="7"/>
    <n v="17420"/>
  </r>
  <r>
    <s v="775-72-1988"/>
    <s v="Cairo"/>
    <x v="2"/>
    <s v="Normal"/>
    <x v="1"/>
    <x v="2"/>
    <n v="7328"/>
    <n v="5"/>
    <n v="1832"/>
    <n v="38472"/>
    <x v="0"/>
    <x v="46"/>
    <d v="1899-12-30T15:05:00"/>
    <s v="Ewallet"/>
    <n v="3664"/>
    <n v="4761904762"/>
    <n v="1832"/>
    <n v="84"/>
    <n v="36640"/>
  </r>
  <r>
    <s v="288-38-3758"/>
    <s v="Giza"/>
    <x v="1"/>
    <s v="Member"/>
    <x v="0"/>
    <x v="5"/>
    <n v="8487"/>
    <n v="3"/>
    <n v="127305"/>
    <n v="2673405"/>
    <x v="0"/>
    <x v="25"/>
    <d v="1899-12-30T18:30:00"/>
    <s v="Ewallet"/>
    <n v="25461"/>
    <n v="4761904762"/>
    <n v="127305"/>
    <n v="74"/>
    <n v="25461"/>
  </r>
  <r>
    <s v="652-43-6591"/>
    <s v="Alex"/>
    <x v="0"/>
    <s v="Normal"/>
    <x v="0"/>
    <x v="5"/>
    <n v="9729"/>
    <n v="8"/>
    <n v="38916"/>
    <n v="817236"/>
    <x v="1"/>
    <x v="11"/>
    <d v="1899-12-30T13:18:00"/>
    <s v="Credit card"/>
    <n v="77832"/>
    <n v="4761904762"/>
    <n v="38916"/>
    <n v="62"/>
    <n v="77832"/>
  </r>
  <r>
    <s v="785-96-0615"/>
    <s v="Cairo"/>
    <x v="2"/>
    <s v="Member"/>
    <x v="0"/>
    <x v="1"/>
    <n v="3574"/>
    <n v="8"/>
    <n v="14296"/>
    <n v="300216"/>
    <x v="2"/>
    <x v="21"/>
    <d v="1899-12-30T15:28:00"/>
    <s v="Ewallet"/>
    <n v="28592"/>
    <n v="4761904762"/>
    <n v="14296"/>
    <n v="49"/>
    <n v="28592"/>
  </r>
  <r>
    <s v="406-46-7107"/>
    <s v="Alex"/>
    <x v="0"/>
    <s v="Normal"/>
    <x v="0"/>
    <x v="2"/>
    <n v="9652"/>
    <n v="6"/>
    <n v="28956"/>
    <n v="608076"/>
    <x v="0"/>
    <x v="83"/>
    <d v="1899-12-30T11:52:00"/>
    <s v="Cash"/>
    <n v="57912"/>
    <n v="4761904762"/>
    <n v="28956"/>
    <n v="45"/>
    <n v="57912"/>
  </r>
  <r>
    <s v="250-17-5703"/>
    <s v="Alex"/>
    <x v="0"/>
    <s v="Member"/>
    <x v="1"/>
    <x v="4"/>
    <n v="1885"/>
    <n v="10"/>
    <n v="9425"/>
    <n v="197925"/>
    <x v="2"/>
    <x v="33"/>
    <d v="1899-12-30T18:24:00"/>
    <s v="Ewallet"/>
    <n v="1885"/>
    <n v="4761904762"/>
    <n v="9425"/>
    <n v="56"/>
    <n v="18850"/>
  </r>
  <r>
    <s v="156-95-3964"/>
    <s v="Alex"/>
    <x v="0"/>
    <s v="Normal"/>
    <x v="0"/>
    <x v="4"/>
    <n v="5539"/>
    <n v="4"/>
    <n v="11078"/>
    <n v="232638"/>
    <x v="1"/>
    <x v="5"/>
    <d v="1899-12-30T15:19:00"/>
    <s v="Ewallet"/>
    <n v="22156"/>
    <n v="4761904762"/>
    <n v="11078"/>
    <n v="8"/>
    <n v="22156"/>
  </r>
  <r>
    <s v="842-40-8179"/>
    <s v="Cairo"/>
    <x v="2"/>
    <s v="Member"/>
    <x v="0"/>
    <x v="4"/>
    <n v="772"/>
    <n v="10"/>
    <n v="386"/>
    <n v="8106"/>
    <x v="2"/>
    <x v="48"/>
    <d v="1899-12-30T10:38:00"/>
    <s v="Credit card"/>
    <n v="772"/>
    <n v="4761904762"/>
    <n v="386"/>
    <n v="56"/>
    <n v="7720"/>
  </r>
  <r>
    <s v="525-09-8450"/>
    <s v="Cairo"/>
    <x v="2"/>
    <s v="Normal"/>
    <x v="1"/>
    <x v="1"/>
    <n v="7213"/>
    <n v="10"/>
    <n v="36065"/>
    <n v="757365"/>
    <x v="0"/>
    <x v="82"/>
    <d v="1899-12-30T15:12:00"/>
    <s v="Credit card"/>
    <n v="7213"/>
    <n v="4761904762"/>
    <n v="36065"/>
    <n v="42"/>
    <n v="72130"/>
  </r>
  <r>
    <s v="410-67-1709"/>
    <s v="Alex"/>
    <x v="0"/>
    <s v="Member"/>
    <x v="0"/>
    <x v="5"/>
    <n v="6388"/>
    <n v="8"/>
    <n v="25552"/>
    <n v="536592"/>
    <x v="0"/>
    <x v="40"/>
    <d v="1899-12-30T17:48:00"/>
    <s v="Ewallet"/>
    <n v="51104"/>
    <n v="4761904762"/>
    <n v="25552"/>
    <n v="99"/>
    <n v="51104"/>
  </r>
  <r>
    <s v="587-73-4862"/>
    <s v="Alex"/>
    <x v="0"/>
    <s v="Member"/>
    <x v="0"/>
    <x v="0"/>
    <n v="1069"/>
    <n v="5"/>
    <n v="26725"/>
    <n v="561225"/>
    <x v="1"/>
    <x v="58"/>
    <d v="1899-12-30T11:07:00"/>
    <s v="Ewallet"/>
    <n v="5345"/>
    <n v="4761904762"/>
    <n v="26725"/>
    <n v="76"/>
    <n v="5345"/>
  </r>
  <r>
    <s v="787-87-2010"/>
    <s v="Alex"/>
    <x v="0"/>
    <s v="Member"/>
    <x v="1"/>
    <x v="0"/>
    <n v="555"/>
    <n v="4"/>
    <n v="111"/>
    <n v="2331"/>
    <x v="0"/>
    <x v="40"/>
    <d v="1899-12-30T15:48:00"/>
    <s v="Credit card"/>
    <n v="222"/>
    <n v="4761904762"/>
    <n v="111"/>
    <n v="66"/>
    <n v="2220"/>
  </r>
  <r>
    <s v="593-14-4239"/>
    <s v="Cairo"/>
    <x v="2"/>
    <s v="Normal"/>
    <x v="0"/>
    <x v="2"/>
    <n v="9546"/>
    <n v="8"/>
    <n v="38184"/>
    <n v="801864"/>
    <x v="1"/>
    <x v="19"/>
    <d v="1899-12-30T19:40:00"/>
    <s v="Ewallet"/>
    <n v="76368"/>
    <n v="4761904762"/>
    <n v="38184"/>
    <n v="47"/>
    <n v="76368"/>
  </r>
  <r>
    <s v="801-88-0346"/>
    <s v="Giza"/>
    <x v="1"/>
    <s v="Normal"/>
    <x v="0"/>
    <x v="5"/>
    <n v="7606"/>
    <n v="3"/>
    <n v="11409"/>
    <n v="239589"/>
    <x v="0"/>
    <x v="0"/>
    <d v="1899-12-30T20:30:00"/>
    <s v="Credit card"/>
    <n v="22818"/>
    <n v="4761904762"/>
    <n v="11409"/>
    <n v="98"/>
    <n v="22818"/>
  </r>
  <r>
    <s v="388-76-2555"/>
    <s v="Cairo"/>
    <x v="2"/>
    <s v="Normal"/>
    <x v="1"/>
    <x v="3"/>
    <n v="1369"/>
    <n v="6"/>
    <n v="4107"/>
    <n v="86247"/>
    <x v="2"/>
    <x v="77"/>
    <d v="1899-12-30T13:59:00"/>
    <s v="Cash"/>
    <n v="8214"/>
    <n v="4761904762"/>
    <n v="4107"/>
    <n v="63"/>
    <n v="8214"/>
  </r>
  <r>
    <s v="711-31-1234"/>
    <s v="Cairo"/>
    <x v="2"/>
    <s v="Normal"/>
    <x v="0"/>
    <x v="1"/>
    <n v="9564"/>
    <n v="4"/>
    <n v="19128"/>
    <n v="401688"/>
    <x v="1"/>
    <x v="32"/>
    <d v="1899-12-30T18:51:00"/>
    <s v="Cash"/>
    <n v="38256"/>
    <n v="4761904762"/>
    <n v="19128"/>
    <n v="79"/>
    <n v="38256"/>
  </r>
  <r>
    <s v="886-54-6089"/>
    <s v="Alex"/>
    <x v="0"/>
    <s v="Normal"/>
    <x v="0"/>
    <x v="2"/>
    <n v="1143"/>
    <n v="6"/>
    <n v="3429"/>
    <n v="72009"/>
    <x v="0"/>
    <x v="15"/>
    <d v="1899-12-30T17:24:00"/>
    <s v="Cash"/>
    <n v="6858"/>
    <n v="4761904762"/>
    <n v="3429"/>
    <n v="77"/>
    <n v="6858"/>
  </r>
  <r>
    <s v="707-32-7409"/>
    <s v="Cairo"/>
    <x v="2"/>
    <s v="Member"/>
    <x v="0"/>
    <x v="3"/>
    <n v="9554"/>
    <n v="4"/>
    <n v="19108"/>
    <n v="401268"/>
    <x v="2"/>
    <x v="84"/>
    <d v="1899-12-30T11:58:00"/>
    <s v="Ewallet"/>
    <n v="38216"/>
    <n v="4761904762"/>
    <n v="19108"/>
    <n v="45"/>
    <n v="38216"/>
  </r>
  <r>
    <s v="759-98-4285"/>
    <s v="Giza"/>
    <x v="1"/>
    <s v="Member"/>
    <x v="0"/>
    <x v="0"/>
    <n v="8587"/>
    <n v="7"/>
    <n v="300545"/>
    <n v="6311445"/>
    <x v="2"/>
    <x v="33"/>
    <d v="1899-12-30T19:01:00"/>
    <s v="Credit card"/>
    <n v="60109"/>
    <n v="4761904762"/>
    <n v="300545"/>
    <n v="8"/>
    <n v="60109"/>
  </r>
  <r>
    <s v="201-63-8275"/>
    <s v="Giza"/>
    <x v="1"/>
    <s v="Member"/>
    <x v="0"/>
    <x v="3"/>
    <n v="6799"/>
    <n v="7"/>
    <n v="237965"/>
    <n v="4997265"/>
    <x v="2"/>
    <x v="21"/>
    <d v="1899-12-30T16:50:00"/>
    <s v="Ewallet"/>
    <n v="47593"/>
    <n v="4761904762"/>
    <n v="237965"/>
    <n v="57"/>
    <n v="47593"/>
  </r>
  <r>
    <s v="471-06-8611"/>
    <s v="Giza"/>
    <x v="1"/>
    <s v="Normal"/>
    <x v="0"/>
    <x v="4"/>
    <n v="5242"/>
    <n v="1"/>
    <n v="2621"/>
    <n v="55041"/>
    <x v="2"/>
    <x v="10"/>
    <d v="1899-12-30T10:22:00"/>
    <s v="Credit card"/>
    <n v="5242"/>
    <n v="4761904762"/>
    <n v="2621"/>
    <n v="63"/>
    <n v="5242"/>
  </r>
  <r>
    <s v="200-16-5952"/>
    <s v="Giza"/>
    <x v="1"/>
    <s v="Member"/>
    <x v="1"/>
    <x v="4"/>
    <n v="6565"/>
    <n v="2"/>
    <n v="6565"/>
    <n v="137865"/>
    <x v="0"/>
    <x v="29"/>
    <d v="1899-12-30T16:46:00"/>
    <s v="Cash"/>
    <n v="1313"/>
    <n v="4761904762"/>
    <n v="6565"/>
    <n v="6"/>
    <n v="13130"/>
  </r>
  <r>
    <s v="120-54-2248"/>
    <s v="Cairo"/>
    <x v="2"/>
    <s v="Normal"/>
    <x v="0"/>
    <x v="4"/>
    <n v="2886"/>
    <n v="5"/>
    <n v="7215"/>
    <n v="151515"/>
    <x v="0"/>
    <x v="49"/>
    <d v="1899-12-30T18:08:00"/>
    <s v="Credit card"/>
    <n v="1443"/>
    <n v="4761904762"/>
    <n v="7215"/>
    <n v="8"/>
    <n v="14430"/>
  </r>
  <r>
    <s v="102-77-2261"/>
    <s v="Giza"/>
    <x v="1"/>
    <s v="Member"/>
    <x v="1"/>
    <x v="0"/>
    <n v="6531"/>
    <n v="7"/>
    <n v="228585"/>
    <n v="4800285"/>
    <x v="1"/>
    <x v="19"/>
    <d v="1899-12-30T18:02:00"/>
    <s v="Credit card"/>
    <n v="45717"/>
    <n v="4761904762"/>
    <n v="228585"/>
    <n v="42"/>
    <n v="45717"/>
  </r>
  <r>
    <s v="875-31-8302"/>
    <s v="Cairo"/>
    <x v="2"/>
    <s v="Normal"/>
    <x v="1"/>
    <x v="3"/>
    <n v="9338"/>
    <n v="1"/>
    <n v="4669"/>
    <n v="98049"/>
    <x v="0"/>
    <x v="75"/>
    <d v="1899-12-30T13:07:00"/>
    <s v="Cash"/>
    <n v="9338"/>
    <n v="4761904762"/>
    <n v="4669"/>
    <n v="96"/>
    <n v="9338"/>
  </r>
  <r>
    <s v="102-06-2002"/>
    <s v="Giza"/>
    <x v="1"/>
    <s v="Member"/>
    <x v="1"/>
    <x v="3"/>
    <n v="2525"/>
    <n v="5"/>
    <n v="63125"/>
    <n v="1325625"/>
    <x v="1"/>
    <x v="80"/>
    <d v="1899-12-30T17:52:00"/>
    <s v="Cash"/>
    <n v="12625"/>
    <n v="4761904762"/>
    <n v="63125"/>
    <n v="61"/>
    <n v="12625"/>
  </r>
  <r>
    <s v="457-94-0464"/>
    <s v="Cairo"/>
    <x v="2"/>
    <s v="Member"/>
    <x v="1"/>
    <x v="1"/>
    <n v="8787"/>
    <n v="9"/>
    <n v="395415"/>
    <n v="8303715"/>
    <x v="0"/>
    <x v="82"/>
    <d v="1899-12-30T20:32:00"/>
    <s v="Ewallet"/>
    <n v="79083"/>
    <n v="4761904762"/>
    <n v="395415"/>
    <n v="56"/>
    <n v="79083"/>
  </r>
  <r>
    <s v="629-42-4133"/>
    <s v="Giza"/>
    <x v="1"/>
    <s v="Normal"/>
    <x v="1"/>
    <x v="0"/>
    <n v="218"/>
    <n v="8"/>
    <n v="872"/>
    <n v="18312"/>
    <x v="2"/>
    <x v="88"/>
    <d v="1899-12-30T19:24:00"/>
    <s v="Cash"/>
    <n v="1744"/>
    <n v="4761904762"/>
    <n v="872"/>
    <n v="83"/>
    <n v="1744"/>
  </r>
  <r>
    <s v="534-53-3526"/>
    <s v="Alex"/>
    <x v="0"/>
    <s v="Normal"/>
    <x v="0"/>
    <x v="3"/>
    <n v="9476"/>
    <n v="4"/>
    <n v="18952"/>
    <n v="397992"/>
    <x v="2"/>
    <x v="48"/>
    <d v="1899-12-30T16:06:00"/>
    <s v="Ewallet"/>
    <n v="37904"/>
    <n v="4761904762"/>
    <n v="18952"/>
    <n v="78"/>
    <n v="37904"/>
  </r>
  <r>
    <s v="307-04-2070"/>
    <s v="Alex"/>
    <x v="0"/>
    <s v="Member"/>
    <x v="0"/>
    <x v="5"/>
    <n v="3062"/>
    <n v="1"/>
    <n v="1531"/>
    <n v="32151"/>
    <x v="2"/>
    <x v="63"/>
    <d v="1899-12-30T14:14:00"/>
    <s v="Credit card"/>
    <n v="3062"/>
    <n v="4761904762"/>
    <n v="1531"/>
    <n v="41"/>
    <n v="3062"/>
  </r>
  <r>
    <s v="468-99-7231"/>
    <s v="Giza"/>
    <x v="1"/>
    <s v="Normal"/>
    <x v="0"/>
    <x v="2"/>
    <n v="4401"/>
    <n v="8"/>
    <n v="17604"/>
    <n v="369684"/>
    <x v="1"/>
    <x v="2"/>
    <d v="1899-12-30T17:36:00"/>
    <s v="Cash"/>
    <n v="35208"/>
    <n v="4761904762"/>
    <n v="17604"/>
    <n v="88"/>
    <n v="35208"/>
  </r>
  <r>
    <s v="516-77-6464"/>
    <s v="Giza"/>
    <x v="1"/>
    <s v="Member"/>
    <x v="0"/>
    <x v="0"/>
    <n v="1016"/>
    <n v="5"/>
    <n v="254"/>
    <n v="5334"/>
    <x v="2"/>
    <x v="7"/>
    <d v="1899-12-30T13:08:00"/>
    <s v="Ewallet"/>
    <n v="508"/>
    <n v="4761904762"/>
    <n v="254"/>
    <n v="41"/>
    <n v="5080"/>
  </r>
  <r>
    <s v="404-91-5964"/>
    <s v="Alex"/>
    <x v="0"/>
    <s v="Normal"/>
    <x v="1"/>
    <x v="1"/>
    <n v="7458"/>
    <n v="7"/>
    <n v="26103"/>
    <n v="548163"/>
    <x v="2"/>
    <x v="87"/>
    <d v="1899-12-30T16:09:00"/>
    <s v="Credit card"/>
    <n v="52206"/>
    <n v="4761904762"/>
    <n v="26103"/>
    <n v="9"/>
    <n v="52206"/>
  </r>
  <r>
    <s v="886-77-9084"/>
    <s v="Giza"/>
    <x v="1"/>
    <s v="Normal"/>
    <x v="1"/>
    <x v="1"/>
    <n v="7189"/>
    <n v="8"/>
    <n v="28756"/>
    <n v="603876"/>
    <x v="2"/>
    <x v="88"/>
    <d v="1899-12-30T11:33:00"/>
    <s v="Ewallet"/>
    <n v="57512"/>
    <n v="4761904762"/>
    <n v="28756"/>
    <n v="55"/>
    <n v="57512"/>
  </r>
  <r>
    <s v="790-38-4466"/>
    <s v="Giza"/>
    <x v="1"/>
    <s v="Normal"/>
    <x v="0"/>
    <x v="0"/>
    <n v="1099"/>
    <n v="5"/>
    <n v="27475"/>
    <n v="576975"/>
    <x v="0"/>
    <x v="54"/>
    <d v="1899-12-30T10:18:00"/>
    <s v="Credit card"/>
    <n v="5495"/>
    <n v="4761904762"/>
    <n v="27475"/>
    <n v="93"/>
    <n v="5495"/>
  </r>
  <r>
    <s v="704-10-4056"/>
    <s v="Giza"/>
    <x v="1"/>
    <s v="Member"/>
    <x v="1"/>
    <x v="0"/>
    <n v="6047"/>
    <n v="3"/>
    <n v="90705"/>
    <n v="1904805"/>
    <x v="0"/>
    <x v="78"/>
    <d v="1899-12-30T10:55:00"/>
    <s v="Credit card"/>
    <n v="18141"/>
    <n v="4761904762"/>
    <n v="90705"/>
    <n v="56"/>
    <n v="18141"/>
  </r>
  <r>
    <s v="497-37-6538"/>
    <s v="Alex"/>
    <x v="0"/>
    <s v="Normal"/>
    <x v="1"/>
    <x v="3"/>
    <n v="5891"/>
    <n v="7"/>
    <n v="206185"/>
    <n v="4329885"/>
    <x v="0"/>
    <x v="29"/>
    <d v="1899-12-30T15:15:00"/>
    <s v="Ewallet"/>
    <n v="41237"/>
    <n v="4761904762"/>
    <n v="206185"/>
    <n v="97"/>
    <n v="41237"/>
  </r>
  <r>
    <s v="651-96-5970"/>
    <s v="Alex"/>
    <x v="0"/>
    <s v="Normal"/>
    <x v="1"/>
    <x v="5"/>
    <n v="4641"/>
    <n v="1"/>
    <n v="23205"/>
    <n v="487305"/>
    <x v="1"/>
    <x v="2"/>
    <d v="1899-12-30T20:06:00"/>
    <s v="Credit card"/>
    <n v="4641"/>
    <n v="4761904762"/>
    <n v="23205"/>
    <n v="4"/>
    <n v="4641"/>
  </r>
  <r>
    <s v="400-80-4065"/>
    <s v="Giza"/>
    <x v="1"/>
    <s v="Member"/>
    <x v="1"/>
    <x v="0"/>
    <n v="6855"/>
    <n v="4"/>
    <n v="1371"/>
    <n v="28791"/>
    <x v="2"/>
    <x v="42"/>
    <d v="1899-12-30T20:21:00"/>
    <s v="Credit card"/>
    <n v="2742"/>
    <n v="4761904762"/>
    <n v="1371"/>
    <n v="92"/>
    <n v="27420"/>
  </r>
  <r>
    <s v="744-16-7898"/>
    <s v="Cairo"/>
    <x v="2"/>
    <s v="Normal"/>
    <x v="0"/>
    <x v="2"/>
    <n v="9737"/>
    <n v="10"/>
    <n v="48685"/>
    <n v="1022385"/>
    <x v="0"/>
    <x v="15"/>
    <d v="1899-12-30T13:48:00"/>
    <s v="Credit card"/>
    <n v="9737"/>
    <n v="4761904762"/>
    <n v="48685"/>
    <n v="49"/>
    <n v="97370"/>
  </r>
  <r>
    <s v="263-12-5321"/>
    <s v="Alex"/>
    <x v="0"/>
    <s v="Member"/>
    <x v="1"/>
    <x v="1"/>
    <n v="926"/>
    <n v="7"/>
    <n v="3241"/>
    <n v="68061"/>
    <x v="2"/>
    <x v="33"/>
    <d v="1899-12-30T12:52:00"/>
    <s v="Credit card"/>
    <n v="6482"/>
    <n v="4761904762"/>
    <n v="3241"/>
    <n v="93"/>
    <n v="6482"/>
  </r>
  <r>
    <s v="702-72-0487"/>
    <s v="Alex"/>
    <x v="0"/>
    <s v="Normal"/>
    <x v="0"/>
    <x v="1"/>
    <n v="4661"/>
    <n v="2"/>
    <n v="4661"/>
    <n v="97881"/>
    <x v="2"/>
    <x v="84"/>
    <d v="1899-12-30T12:28:00"/>
    <s v="Credit card"/>
    <n v="9322"/>
    <n v="4761904762"/>
    <n v="4661"/>
    <n v="66"/>
    <n v="9322"/>
  </r>
  <r>
    <s v="605-83-1050"/>
    <s v="Cairo"/>
    <x v="2"/>
    <s v="Normal"/>
    <x v="1"/>
    <x v="5"/>
    <n v="2718"/>
    <n v="2"/>
    <n v="2718"/>
    <n v="57078"/>
    <x v="1"/>
    <x v="20"/>
    <d v="1899-12-30T16:26:00"/>
    <s v="Ewallet"/>
    <n v="5436"/>
    <n v="4761904762"/>
    <n v="2718"/>
    <n v="43"/>
    <n v="5436"/>
  </r>
  <r>
    <s v="443-60-9639"/>
    <s v="Giza"/>
    <x v="1"/>
    <s v="Member"/>
    <x v="0"/>
    <x v="2"/>
    <n v="6087"/>
    <n v="1"/>
    <n v="30435"/>
    <n v="639135"/>
    <x v="0"/>
    <x v="46"/>
    <d v="1899-12-30T13:24:00"/>
    <s v="Cash"/>
    <n v="6087"/>
    <n v="4761904762"/>
    <n v="30435"/>
    <n v="55"/>
    <n v="6087"/>
  </r>
  <r>
    <s v="864-24-7918"/>
    <s v="Alex"/>
    <x v="0"/>
    <s v="Member"/>
    <x v="0"/>
    <x v="3"/>
    <n v="2449"/>
    <n v="10"/>
    <n v="12245"/>
    <n v="257145"/>
    <x v="2"/>
    <x v="70"/>
    <d v="1899-12-30T15:15:00"/>
    <s v="Cash"/>
    <n v="2449"/>
    <n v="4761904762"/>
    <n v="12245"/>
    <n v="81"/>
    <n v="24490"/>
  </r>
  <r>
    <s v="359-94-5395"/>
    <s v="Cairo"/>
    <x v="2"/>
    <s v="Normal"/>
    <x v="1"/>
    <x v="0"/>
    <n v="9278"/>
    <n v="1"/>
    <n v="4639"/>
    <n v="97419"/>
    <x v="1"/>
    <x v="20"/>
    <d v="1899-12-30T10:50:00"/>
    <s v="Credit card"/>
    <n v="9278"/>
    <n v="4761904762"/>
    <n v="4639"/>
    <n v="98"/>
    <n v="9278"/>
  </r>
  <r>
    <s v="401-09-4232"/>
    <s v="Giza"/>
    <x v="1"/>
    <s v="Member"/>
    <x v="1"/>
    <x v="2"/>
    <n v="8669"/>
    <n v="5"/>
    <n v="216725"/>
    <n v="4551225"/>
    <x v="2"/>
    <x v="48"/>
    <d v="1899-12-30T18:38:00"/>
    <s v="Ewallet"/>
    <n v="43345"/>
    <n v="4761904762"/>
    <n v="216725"/>
    <n v="94"/>
    <n v="43345"/>
  </r>
  <r>
    <s v="751-15-6198"/>
    <s v="Cairo"/>
    <x v="2"/>
    <s v="Normal"/>
    <x v="1"/>
    <x v="3"/>
    <n v="2301"/>
    <n v="6"/>
    <n v="6903"/>
    <n v="144963"/>
    <x v="0"/>
    <x v="52"/>
    <d v="1899-12-30T16:45:00"/>
    <s v="Ewallet"/>
    <n v="13806"/>
    <n v="4761904762"/>
    <n v="6903"/>
    <n v="79"/>
    <n v="13806"/>
  </r>
  <r>
    <s v="324-41-6833"/>
    <s v="Giza"/>
    <x v="1"/>
    <s v="Member"/>
    <x v="0"/>
    <x v="1"/>
    <n v="302"/>
    <n v="8"/>
    <n v="1208"/>
    <n v="25368"/>
    <x v="1"/>
    <x v="2"/>
    <d v="1899-12-30T19:30:00"/>
    <s v="Ewallet"/>
    <n v="2416"/>
    <n v="4761904762"/>
    <n v="1208"/>
    <n v="51"/>
    <n v="2416"/>
  </r>
  <r>
    <s v="474-33-8305"/>
    <s v="Giza"/>
    <x v="1"/>
    <s v="Member"/>
    <x v="1"/>
    <x v="5"/>
    <n v="6739"/>
    <n v="7"/>
    <n v="235865"/>
    <n v="4953165"/>
    <x v="1"/>
    <x v="28"/>
    <d v="1899-12-30T13:23:00"/>
    <s v="Ewallet"/>
    <n v="47173"/>
    <n v="4761904762"/>
    <n v="235865"/>
    <n v="69"/>
    <n v="47173"/>
  </r>
  <r>
    <s v="759-29-9521"/>
    <s v="Alex"/>
    <x v="0"/>
    <s v="Member"/>
    <x v="0"/>
    <x v="5"/>
    <n v="4896"/>
    <n v="9"/>
    <n v="22032"/>
    <n v="462672"/>
    <x v="1"/>
    <x v="31"/>
    <d v="1899-12-30T11:27:00"/>
    <s v="Cash"/>
    <n v="44064"/>
    <n v="4761904762"/>
    <n v="22032"/>
    <n v="8"/>
    <n v="44064"/>
  </r>
  <r>
    <s v="831-81-6575"/>
    <s v="Cairo"/>
    <x v="2"/>
    <s v="Member"/>
    <x v="0"/>
    <x v="1"/>
    <n v="7559"/>
    <n v="9"/>
    <n v="340155"/>
    <n v="7143255"/>
    <x v="2"/>
    <x v="55"/>
    <d v="1899-12-30T11:12:00"/>
    <s v="Cash"/>
    <n v="68031"/>
    <n v="4761904762"/>
    <n v="340155"/>
    <n v="8"/>
    <n v="68031"/>
  </r>
  <r>
    <s v="220-68-6701"/>
    <s v="Alex"/>
    <x v="0"/>
    <s v="Normal"/>
    <x v="0"/>
    <x v="2"/>
    <n v="7747"/>
    <n v="4"/>
    <n v="15494"/>
    <n v="325374"/>
    <x v="1"/>
    <x v="85"/>
    <d v="1899-12-30T16:36:00"/>
    <s v="Cash"/>
    <n v="30988"/>
    <n v="4761904762"/>
    <n v="15494"/>
    <n v="42"/>
    <n v="30988"/>
  </r>
  <r>
    <s v="618-34-8551"/>
    <s v="Alex"/>
    <x v="0"/>
    <s v="Normal"/>
    <x v="0"/>
    <x v="3"/>
    <n v="9318"/>
    <n v="2"/>
    <n v="9318"/>
    <n v="195678"/>
    <x v="0"/>
    <x v="65"/>
    <d v="1899-12-30T18:41:00"/>
    <s v="Credit card"/>
    <n v="18636"/>
    <n v="4761904762"/>
    <n v="9318"/>
    <n v="85"/>
    <n v="18636"/>
  </r>
  <r>
    <s v="257-60-7754"/>
    <s v="Alex"/>
    <x v="0"/>
    <s v="Normal"/>
    <x v="0"/>
    <x v="1"/>
    <n v="5023"/>
    <n v="4"/>
    <n v="10046"/>
    <n v="210966"/>
    <x v="0"/>
    <x v="66"/>
    <d v="1899-12-30T17:12:00"/>
    <s v="Cash"/>
    <n v="20092"/>
    <n v="4761904762"/>
    <n v="10046"/>
    <n v="9"/>
    <n v="20092"/>
  </r>
  <r>
    <s v="559-61-5987"/>
    <s v="Cairo"/>
    <x v="2"/>
    <s v="Normal"/>
    <x v="0"/>
    <x v="0"/>
    <n v="1775"/>
    <n v="1"/>
    <n v="8875"/>
    <n v="186375"/>
    <x v="0"/>
    <x v="78"/>
    <d v="1899-12-30T10:38:00"/>
    <s v="Cash"/>
    <n v="1775"/>
    <n v="4761904762"/>
    <n v="8875"/>
    <n v="86"/>
    <n v="1775"/>
  </r>
  <r>
    <s v="189-55-2313"/>
    <s v="Giza"/>
    <x v="1"/>
    <s v="Normal"/>
    <x v="0"/>
    <x v="5"/>
    <n v="6218"/>
    <n v="10"/>
    <n v="3109"/>
    <n v="65289"/>
    <x v="0"/>
    <x v="82"/>
    <d v="1899-12-30T10:33:00"/>
    <s v="Ewallet"/>
    <n v="6218"/>
    <n v="4761904762"/>
    <n v="3109"/>
    <n v="6"/>
    <n v="62180"/>
  </r>
  <r>
    <s v="565-91-4567"/>
    <s v="Cairo"/>
    <x v="2"/>
    <s v="Normal"/>
    <x v="1"/>
    <x v="0"/>
    <n v="1075"/>
    <n v="8"/>
    <n v="43"/>
    <n v="903"/>
    <x v="1"/>
    <x v="20"/>
    <d v="1899-12-30T14:38:00"/>
    <s v="Ewallet"/>
    <n v="86"/>
    <n v="4761904762"/>
    <n v="43"/>
    <n v="62"/>
    <n v="8600"/>
  </r>
  <r>
    <s v="380-60-5336"/>
    <s v="Alex"/>
    <x v="0"/>
    <s v="Normal"/>
    <x v="0"/>
    <x v="1"/>
    <n v="4026"/>
    <n v="10"/>
    <n v="2013"/>
    <n v="42273"/>
    <x v="2"/>
    <x v="7"/>
    <d v="1899-12-30T18:06:00"/>
    <s v="Credit card"/>
    <n v="4026"/>
    <n v="4761904762"/>
    <n v="2013"/>
    <n v="5"/>
    <n v="40260"/>
  </r>
  <r>
    <s v="815-04-6282"/>
    <s v="Giza"/>
    <x v="1"/>
    <s v="Member"/>
    <x v="0"/>
    <x v="3"/>
    <n v="6497"/>
    <n v="5"/>
    <n v="162425"/>
    <n v="3410925"/>
    <x v="2"/>
    <x v="4"/>
    <d v="1899-12-30T12:52:00"/>
    <s v="Credit card"/>
    <n v="32485"/>
    <n v="4761904762"/>
    <n v="162425"/>
    <n v="65"/>
    <n v="32485"/>
  </r>
  <r>
    <s v="674-56-6360"/>
    <s v="Alex"/>
    <x v="0"/>
    <s v="Normal"/>
    <x v="1"/>
    <x v="1"/>
    <n v="9515"/>
    <n v="1"/>
    <n v="47575"/>
    <n v="999075"/>
    <x v="1"/>
    <x v="23"/>
    <d v="1899-12-30T14:00:00"/>
    <s v="Cash"/>
    <n v="9515"/>
    <n v="4761904762"/>
    <n v="47575"/>
    <n v="6"/>
    <n v="9515"/>
  </r>
  <r>
    <s v="778-34-2523"/>
    <s v="Alex"/>
    <x v="0"/>
    <s v="Member"/>
    <x v="0"/>
    <x v="1"/>
    <n v="4862"/>
    <n v="8"/>
    <n v="19448"/>
    <n v="408408"/>
    <x v="0"/>
    <x v="46"/>
    <d v="1899-12-30T10:57:00"/>
    <s v="Cash"/>
    <n v="38896"/>
    <n v="4761904762"/>
    <n v="19448"/>
    <n v="5"/>
    <n v="38896"/>
  </r>
  <r>
    <s v="499-27-7781"/>
    <s v="Cairo"/>
    <x v="2"/>
    <s v="Normal"/>
    <x v="0"/>
    <x v="4"/>
    <n v="5321"/>
    <n v="8"/>
    <n v="21284"/>
    <n v="446964"/>
    <x v="1"/>
    <x v="86"/>
    <d v="1899-12-30T16:45:00"/>
    <s v="Ewallet"/>
    <n v="42568"/>
    <n v="4761904762"/>
    <n v="21284"/>
    <n v="5"/>
    <n v="42568"/>
  </r>
  <r>
    <s v="477-59-2456"/>
    <s v="Giza"/>
    <x v="1"/>
    <s v="Normal"/>
    <x v="0"/>
    <x v="5"/>
    <n v="4544"/>
    <n v="7"/>
    <n v="15904"/>
    <n v="333984"/>
    <x v="0"/>
    <x v="54"/>
    <d v="1899-12-30T11:15:00"/>
    <s v="Cash"/>
    <n v="31808"/>
    <n v="4761904762"/>
    <n v="15904"/>
    <n v="92"/>
    <n v="31808"/>
  </r>
  <r>
    <s v="832-51-6761"/>
    <s v="Alex"/>
    <x v="0"/>
    <s v="Normal"/>
    <x v="1"/>
    <x v="4"/>
    <n v="3388"/>
    <n v="8"/>
    <n v="13552"/>
    <n v="284592"/>
    <x v="0"/>
    <x v="64"/>
    <d v="1899-12-30T20:29:00"/>
    <s v="Ewallet"/>
    <n v="27104"/>
    <n v="4761904762"/>
    <n v="13552"/>
    <n v="96"/>
    <n v="27104"/>
  </r>
  <r>
    <s v="869-11-3082"/>
    <s v="Cairo"/>
    <x v="2"/>
    <s v="Member"/>
    <x v="1"/>
    <x v="0"/>
    <n v="9616"/>
    <n v="4"/>
    <n v="19232"/>
    <n v="403872"/>
    <x v="0"/>
    <x v="3"/>
    <d v="1899-12-30T20:03:00"/>
    <s v="Credit card"/>
    <n v="38464"/>
    <n v="4761904762"/>
    <n v="19232"/>
    <n v="84"/>
    <n v="38464"/>
  </r>
  <r>
    <s v="190-59-3964"/>
    <s v="Cairo"/>
    <x v="2"/>
    <s v="Member"/>
    <x v="1"/>
    <x v="4"/>
    <n v="4716"/>
    <n v="5"/>
    <n v="1179"/>
    <n v="24759"/>
    <x v="2"/>
    <x v="36"/>
    <d v="1899-12-30T14:35:00"/>
    <s v="Credit card"/>
    <n v="2358"/>
    <n v="4761904762"/>
    <n v="1179"/>
    <n v="6"/>
    <n v="23580"/>
  </r>
  <r>
    <s v="366-43-6862"/>
    <s v="Cairo"/>
    <x v="2"/>
    <s v="Normal"/>
    <x v="1"/>
    <x v="1"/>
    <n v="5289"/>
    <n v="4"/>
    <n v="10578"/>
    <n v="222138"/>
    <x v="1"/>
    <x v="5"/>
    <d v="1899-12-30T16:32:00"/>
    <s v="Ewallet"/>
    <n v="21156"/>
    <n v="4761904762"/>
    <n v="10578"/>
    <n v="67"/>
    <n v="21156"/>
  </r>
  <r>
    <s v="186-43-8965"/>
    <s v="Alex"/>
    <x v="0"/>
    <s v="Member"/>
    <x v="0"/>
    <x v="2"/>
    <n v="4768"/>
    <n v="2"/>
    <n v="4768"/>
    <n v="100128"/>
    <x v="2"/>
    <x v="7"/>
    <d v="1899-12-30T10:10:00"/>
    <s v="Credit card"/>
    <n v="9536"/>
    <n v="4761904762"/>
    <n v="4768"/>
    <n v="41"/>
    <n v="9536"/>
  </r>
  <r>
    <s v="784-21-9238"/>
    <s v="Giza"/>
    <x v="1"/>
    <s v="Member"/>
    <x v="1"/>
    <x v="3"/>
    <n v="1017"/>
    <n v="1"/>
    <n v="5085"/>
    <n v="106785"/>
    <x v="2"/>
    <x v="13"/>
    <d v="1899-12-30T14:15:00"/>
    <s v="Cash"/>
    <n v="1017"/>
    <n v="4761904762"/>
    <n v="5085"/>
    <n v="59"/>
    <n v="1017"/>
  </r>
  <r>
    <s v="276-75-6884"/>
    <s v="Alex"/>
    <x v="0"/>
    <s v="Normal"/>
    <x v="0"/>
    <x v="0"/>
    <n v="6871"/>
    <n v="3"/>
    <n v="103065"/>
    <n v="2164365"/>
    <x v="1"/>
    <x v="31"/>
    <d v="1899-12-30T10:05:00"/>
    <s v="Cash"/>
    <n v="20613"/>
    <n v="4761904762"/>
    <n v="103065"/>
    <n v="87"/>
    <n v="20613"/>
  </r>
  <r>
    <s v="109-86-4363"/>
    <s v="Cairo"/>
    <x v="2"/>
    <s v="Member"/>
    <x v="0"/>
    <x v="3"/>
    <n v="6008"/>
    <n v="7"/>
    <n v="21028"/>
    <n v="441588"/>
    <x v="2"/>
    <x v="44"/>
    <d v="1899-12-30T11:36:00"/>
    <s v="Credit card"/>
    <n v="42056"/>
    <n v="4761904762"/>
    <n v="21028"/>
    <n v="45"/>
    <n v="42056"/>
  </r>
  <r>
    <s v="569-76-2760"/>
    <s v="Alex"/>
    <x v="0"/>
    <s v="Member"/>
    <x v="0"/>
    <x v="3"/>
    <n v="2201"/>
    <n v="4"/>
    <n v="4402"/>
    <n v="92442"/>
    <x v="0"/>
    <x v="71"/>
    <d v="1899-12-30T18:15:00"/>
    <s v="Credit card"/>
    <n v="8804"/>
    <n v="4761904762"/>
    <n v="4402"/>
    <n v="66"/>
    <n v="8804"/>
  </r>
  <r>
    <s v="222-42-0244"/>
    <s v="Cairo"/>
    <x v="2"/>
    <s v="Member"/>
    <x v="0"/>
    <x v="0"/>
    <n v="7211"/>
    <n v="9"/>
    <n v="324495"/>
    <n v="6814395"/>
    <x v="0"/>
    <x v="26"/>
    <d v="1899-12-30T13:53:00"/>
    <s v="Credit card"/>
    <n v="64899"/>
    <n v="4761904762"/>
    <n v="324495"/>
    <n v="77"/>
    <n v="64899"/>
  </r>
  <r>
    <s v="760-53-9233"/>
    <s v="Alex"/>
    <x v="0"/>
    <s v="Member"/>
    <x v="1"/>
    <x v="5"/>
    <n v="4128"/>
    <n v="3"/>
    <n v="6192"/>
    <n v="130032"/>
    <x v="1"/>
    <x v="58"/>
    <d v="1899-12-30T18:37:00"/>
    <s v="Credit card"/>
    <n v="12384"/>
    <n v="4761904762"/>
    <n v="6192"/>
    <n v="85"/>
    <n v="12384"/>
  </r>
  <r>
    <s v="538-22-0304"/>
    <s v="Giza"/>
    <x v="1"/>
    <s v="Normal"/>
    <x v="1"/>
    <x v="1"/>
    <n v="6495"/>
    <n v="10"/>
    <n v="32475"/>
    <n v="681975"/>
    <x v="1"/>
    <x v="62"/>
    <d v="1899-12-30T18:27:00"/>
    <s v="Cash"/>
    <n v="6495"/>
    <n v="4761904762"/>
    <n v="32475"/>
    <n v="52"/>
    <n v="64950"/>
  </r>
  <r>
    <s v="416-17-9926"/>
    <s v="Alex"/>
    <x v="0"/>
    <s v="Member"/>
    <x v="0"/>
    <x v="1"/>
    <n v="7422"/>
    <n v="10"/>
    <n v="3711"/>
    <n v="77931"/>
    <x v="0"/>
    <x v="17"/>
    <d v="1899-12-30T14:42:00"/>
    <s v="Credit card"/>
    <n v="7422"/>
    <n v="4761904762"/>
    <n v="3711"/>
    <n v="43"/>
    <n v="74220"/>
  </r>
  <r>
    <s v="237-44-6163"/>
    <s v="Alex"/>
    <x v="0"/>
    <s v="Normal"/>
    <x v="1"/>
    <x v="1"/>
    <n v="1056"/>
    <n v="8"/>
    <n v="4224"/>
    <n v="88704"/>
    <x v="0"/>
    <x v="46"/>
    <d v="1899-12-30T17:43:00"/>
    <s v="Cash"/>
    <n v="8448"/>
    <n v="4761904762"/>
    <n v="4224"/>
    <n v="76"/>
    <n v="8448"/>
  </r>
  <r>
    <s v="636-17-0325"/>
    <s v="Cairo"/>
    <x v="2"/>
    <s v="Normal"/>
    <x v="1"/>
    <x v="0"/>
    <n v="6257"/>
    <n v="4"/>
    <n v="12514"/>
    <n v="262794"/>
    <x v="2"/>
    <x v="6"/>
    <d v="1899-12-30T18:37:00"/>
    <s v="Cash"/>
    <n v="25028"/>
    <n v="4761904762"/>
    <n v="12514"/>
    <n v="95"/>
    <n v="25028"/>
  </r>
  <r>
    <s v="343-75-9322"/>
    <s v="Cairo"/>
    <x v="2"/>
    <s v="Member"/>
    <x v="0"/>
    <x v="3"/>
    <n v="1185"/>
    <n v="8"/>
    <n v="474"/>
    <n v="9954"/>
    <x v="0"/>
    <x v="51"/>
    <d v="1899-12-30T16:34:00"/>
    <s v="Cash"/>
    <n v="948"/>
    <n v="4761904762"/>
    <n v="474"/>
    <n v="41"/>
    <n v="9480"/>
  </r>
  <r>
    <s v="528-14-9470"/>
    <s v="Alex"/>
    <x v="0"/>
    <s v="Member"/>
    <x v="1"/>
    <x v="0"/>
    <n v="913"/>
    <n v="1"/>
    <n v="4565"/>
    <n v="95865"/>
    <x v="2"/>
    <x v="44"/>
    <d v="1899-12-30T14:42:00"/>
    <s v="Ewallet"/>
    <n v="913"/>
    <n v="4761904762"/>
    <n v="4565"/>
    <n v="92"/>
    <n v="913"/>
  </r>
  <r>
    <s v="427-45-9297"/>
    <s v="Cairo"/>
    <x v="2"/>
    <s v="Member"/>
    <x v="0"/>
    <x v="2"/>
    <n v="4073"/>
    <n v="7"/>
    <n v="142555"/>
    <n v="2993655"/>
    <x v="1"/>
    <x v="41"/>
    <d v="1899-12-30T11:01:00"/>
    <s v="Ewallet"/>
    <n v="28511"/>
    <n v="4761904762"/>
    <n v="142555"/>
    <n v="54"/>
    <n v="28511"/>
  </r>
  <r>
    <s v="807-34-3742"/>
    <s v="Alex"/>
    <x v="0"/>
    <s v="Normal"/>
    <x v="1"/>
    <x v="5"/>
    <n v="5238"/>
    <n v="1"/>
    <n v="2619"/>
    <n v="54999"/>
    <x v="1"/>
    <x v="58"/>
    <d v="1899-12-30T19:44:00"/>
    <s v="Cash"/>
    <n v="5238"/>
    <n v="4761904762"/>
    <n v="2619"/>
    <n v="58"/>
    <n v="5238"/>
  </r>
  <r>
    <s v="288-62-1085"/>
    <s v="Alex"/>
    <x v="0"/>
    <s v="Member"/>
    <x v="1"/>
    <x v="5"/>
    <n v="3854"/>
    <n v="5"/>
    <n v="9635"/>
    <n v="202335"/>
    <x v="0"/>
    <x v="51"/>
    <d v="1899-12-30T13:34:00"/>
    <s v="Ewallet"/>
    <n v="1927"/>
    <n v="4761904762"/>
    <n v="9635"/>
    <n v="56"/>
    <n v="19270"/>
  </r>
  <r>
    <s v="670-71-7306"/>
    <s v="Cairo"/>
    <x v="2"/>
    <s v="Normal"/>
    <x v="1"/>
    <x v="3"/>
    <n v="4463"/>
    <n v="6"/>
    <n v="13389"/>
    <n v="281169"/>
    <x v="0"/>
    <x v="56"/>
    <d v="1899-12-30T20:08:00"/>
    <s v="Credit card"/>
    <n v="26778"/>
    <n v="4761904762"/>
    <n v="13389"/>
    <n v="51"/>
    <n v="26778"/>
  </r>
  <r>
    <s v="660-29-7083"/>
    <s v="Giza"/>
    <x v="1"/>
    <s v="Normal"/>
    <x v="1"/>
    <x v="1"/>
    <n v="5587"/>
    <n v="10"/>
    <n v="27935"/>
    <n v="586635"/>
    <x v="0"/>
    <x v="15"/>
    <d v="1899-12-30T15:01:00"/>
    <s v="Cash"/>
    <n v="5587"/>
    <n v="4761904762"/>
    <n v="27935"/>
    <n v="58"/>
    <n v="55870"/>
  </r>
  <r>
    <s v="271-77-8740"/>
    <s v="Giza"/>
    <x v="1"/>
    <s v="Member"/>
    <x v="0"/>
    <x v="3"/>
    <n v="2922"/>
    <n v="6"/>
    <n v="8766"/>
    <n v="184086"/>
    <x v="0"/>
    <x v="17"/>
    <d v="1899-12-30T11:40:00"/>
    <s v="Ewallet"/>
    <n v="17532"/>
    <n v="4761904762"/>
    <n v="8766"/>
    <n v="5"/>
    <n v="17532"/>
  </r>
  <r>
    <s v="497-36-0989"/>
    <s v="Alex"/>
    <x v="0"/>
    <s v="Normal"/>
    <x v="1"/>
    <x v="5"/>
    <n v="5194"/>
    <n v="3"/>
    <n v="7791"/>
    <n v="163611"/>
    <x v="2"/>
    <x v="42"/>
    <d v="1899-12-30T15:21:00"/>
    <s v="Cash"/>
    <n v="15582"/>
    <n v="4761904762"/>
    <n v="7791"/>
    <n v="79"/>
    <n v="15582"/>
  </r>
  <r>
    <s v="291-59-1384"/>
    <s v="Cairo"/>
    <x v="2"/>
    <s v="Normal"/>
    <x v="1"/>
    <x v="1"/>
    <n v="603"/>
    <n v="1"/>
    <n v="3015"/>
    <n v="63315"/>
    <x v="2"/>
    <x v="38"/>
    <d v="1899-12-30T17:38:00"/>
    <s v="Cash"/>
    <n v="603"/>
    <n v="4761904762"/>
    <n v="3015"/>
    <n v="6"/>
    <n v="603"/>
  </r>
  <r>
    <s v="860-73-6466"/>
    <s v="Alex"/>
    <x v="0"/>
    <s v="Member"/>
    <x v="0"/>
    <x v="3"/>
    <n v="3947"/>
    <n v="2"/>
    <n v="3947"/>
    <n v="82887"/>
    <x v="1"/>
    <x v="22"/>
    <d v="1899-12-30T16:16:00"/>
    <s v="Credit card"/>
    <n v="7894"/>
    <n v="4761904762"/>
    <n v="3947"/>
    <n v="5"/>
    <n v="7894"/>
  </r>
  <r>
    <s v="549-23-9016"/>
    <s v="Giza"/>
    <x v="1"/>
    <s v="Member"/>
    <x v="0"/>
    <x v="4"/>
    <n v="1487"/>
    <n v="2"/>
    <n v="1487"/>
    <n v="31227"/>
    <x v="2"/>
    <x v="77"/>
    <d v="1899-12-30T18:15:00"/>
    <s v="Credit card"/>
    <n v="2974"/>
    <n v="4761904762"/>
    <n v="1487"/>
    <n v="89"/>
    <n v="2974"/>
  </r>
  <r>
    <s v="896-34-0956"/>
    <s v="Alex"/>
    <x v="0"/>
    <s v="Normal"/>
    <x v="1"/>
    <x v="5"/>
    <n v="2132"/>
    <n v="1"/>
    <n v="1066"/>
    <n v="22386"/>
    <x v="0"/>
    <x v="53"/>
    <d v="1899-12-30T12:43:00"/>
    <s v="Cash"/>
    <n v="2132"/>
    <n v="4761904762"/>
    <n v="1066"/>
    <n v="59"/>
    <n v="2132"/>
  </r>
  <r>
    <s v="804-38-3935"/>
    <s v="Alex"/>
    <x v="0"/>
    <s v="Member"/>
    <x v="1"/>
    <x v="1"/>
    <n v="9378"/>
    <n v="3"/>
    <n v="14067"/>
    <n v="295407"/>
    <x v="0"/>
    <x v="74"/>
    <d v="1899-12-30T11:32:00"/>
    <s v="Credit card"/>
    <n v="28134"/>
    <n v="4761904762"/>
    <n v="14067"/>
    <n v="59"/>
    <n v="28134"/>
  </r>
  <r>
    <s v="585-90-0249"/>
    <s v="Alex"/>
    <x v="0"/>
    <s v="Member"/>
    <x v="1"/>
    <x v="1"/>
    <n v="7326"/>
    <n v="1"/>
    <n v="3663"/>
    <n v="76923"/>
    <x v="0"/>
    <x v="3"/>
    <d v="1899-12-30T18:08:00"/>
    <s v="Ewallet"/>
    <n v="7326"/>
    <n v="4761904762"/>
    <n v="3663"/>
    <n v="97"/>
    <n v="7326"/>
  </r>
  <r>
    <s v="862-29-5914"/>
    <s v="Giza"/>
    <x v="1"/>
    <s v="Normal"/>
    <x v="0"/>
    <x v="3"/>
    <n v="2238"/>
    <n v="1"/>
    <n v="1119"/>
    <n v="23499"/>
    <x v="0"/>
    <x v="74"/>
    <d v="1899-12-30T17:08:00"/>
    <s v="Credit card"/>
    <n v="2238"/>
    <n v="4761904762"/>
    <n v="1119"/>
    <n v="86"/>
    <n v="2238"/>
  </r>
  <r>
    <s v="845-94-6841"/>
    <s v="Giza"/>
    <x v="1"/>
    <s v="Member"/>
    <x v="0"/>
    <x v="4"/>
    <n v="7288"/>
    <n v="9"/>
    <n v="32796"/>
    <n v="688716"/>
    <x v="0"/>
    <x v="66"/>
    <d v="1899-12-30T19:38:00"/>
    <s v="Cash"/>
    <n v="65592"/>
    <n v="4761904762"/>
    <n v="32796"/>
    <n v="4"/>
    <n v="65592"/>
  </r>
  <r>
    <s v="125-45-2293"/>
    <s v="Alex"/>
    <x v="0"/>
    <s v="Normal"/>
    <x v="0"/>
    <x v="5"/>
    <n v="991"/>
    <n v="6"/>
    <n v="2973"/>
    <n v="62433"/>
    <x v="0"/>
    <x v="64"/>
    <d v="1899-12-30T13:11:00"/>
    <s v="Cash"/>
    <n v="5946"/>
    <n v="4761904762"/>
    <n v="2973"/>
    <n v="42"/>
    <n v="5946"/>
  </r>
  <r>
    <s v="843-73-4724"/>
    <s v="Alex"/>
    <x v="0"/>
    <s v="Normal"/>
    <x v="1"/>
    <x v="5"/>
    <n v="741"/>
    <n v="1"/>
    <n v="3705"/>
    <n v="77805"/>
    <x v="0"/>
    <x v="25"/>
    <d v="1899-12-30T11:05:00"/>
    <s v="Cash"/>
    <n v="741"/>
    <n v="4761904762"/>
    <n v="3705"/>
    <n v="92"/>
    <n v="741"/>
  </r>
  <r>
    <s v="409-33-9708"/>
    <s v="Alex"/>
    <x v="0"/>
    <s v="Normal"/>
    <x v="0"/>
    <x v="5"/>
    <n v="9848"/>
    <n v="2"/>
    <n v="9848"/>
    <n v="206808"/>
    <x v="2"/>
    <x v="88"/>
    <d v="1899-12-30T10:12:00"/>
    <s v="Ewallet"/>
    <n v="19696"/>
    <n v="4761904762"/>
    <n v="9848"/>
    <n v="92"/>
    <n v="19696"/>
  </r>
  <r>
    <s v="658-66-3967"/>
    <s v="Giza"/>
    <x v="1"/>
    <s v="Normal"/>
    <x v="1"/>
    <x v="0"/>
    <n v="5319"/>
    <n v="7"/>
    <n v="186165"/>
    <n v="3909465"/>
    <x v="0"/>
    <x v="78"/>
    <d v="1899-12-30T15:42:00"/>
    <s v="Ewallet"/>
    <n v="37233"/>
    <n v="4761904762"/>
    <n v="186165"/>
    <n v="5"/>
    <n v="37233"/>
  </r>
  <r>
    <s v="866-70-2814"/>
    <s v="Cairo"/>
    <x v="2"/>
    <s v="Normal"/>
    <x v="0"/>
    <x v="1"/>
    <n v="5279"/>
    <n v="10"/>
    <n v="26395"/>
    <n v="554295"/>
    <x v="2"/>
    <x v="6"/>
    <d v="1899-12-30T11:58:00"/>
    <s v="Ewallet"/>
    <n v="5279"/>
    <n v="4761904762"/>
    <n v="26395"/>
    <n v="10"/>
    <n v="52790"/>
  </r>
  <r>
    <s v="160-22-2687"/>
    <s v="Alex"/>
    <x v="0"/>
    <s v="Member"/>
    <x v="0"/>
    <x v="0"/>
    <n v="9595"/>
    <n v="5"/>
    <n v="239875"/>
    <n v="5037375"/>
    <x v="0"/>
    <x v="54"/>
    <d v="1899-12-30T14:21:00"/>
    <s v="Ewallet"/>
    <n v="47975"/>
    <n v="4761904762"/>
    <n v="239875"/>
    <n v="88"/>
    <n v="47975"/>
  </r>
  <r>
    <s v="895-03-6665"/>
    <s v="Cairo"/>
    <x v="2"/>
    <s v="Normal"/>
    <x v="0"/>
    <x v="5"/>
    <n v="3651"/>
    <n v="9"/>
    <n v="164295"/>
    <n v="3450195"/>
    <x v="2"/>
    <x v="69"/>
    <d v="1899-12-30T10:52:00"/>
    <s v="Cash"/>
    <n v="32859"/>
    <n v="4761904762"/>
    <n v="164295"/>
    <n v="42"/>
    <n v="32859"/>
  </r>
  <r>
    <s v="770-42-8960"/>
    <s v="Cairo"/>
    <x v="2"/>
    <s v="Normal"/>
    <x v="1"/>
    <x v="4"/>
    <n v="2112"/>
    <n v="8"/>
    <n v="8448"/>
    <n v="177408"/>
    <x v="0"/>
    <x v="17"/>
    <d v="1899-12-30T19:31:00"/>
    <s v="Cash"/>
    <n v="16896"/>
    <n v="4761904762"/>
    <n v="8448"/>
    <n v="63"/>
    <n v="16896"/>
  </r>
  <r>
    <s v="748-45-2862"/>
    <s v="Alex"/>
    <x v="0"/>
    <s v="Member"/>
    <x v="0"/>
    <x v="2"/>
    <n v="2831"/>
    <n v="4"/>
    <n v="5662"/>
    <n v="118902"/>
    <x v="1"/>
    <x v="37"/>
    <d v="1899-12-30T18:35:00"/>
    <s v="Cash"/>
    <n v="11324"/>
    <n v="4761904762"/>
    <n v="5662"/>
    <n v="82"/>
    <n v="11324"/>
  </r>
  <r>
    <s v="234-36-2483"/>
    <s v="Cairo"/>
    <x v="2"/>
    <s v="Normal"/>
    <x v="1"/>
    <x v="0"/>
    <n v="5759"/>
    <n v="6"/>
    <n v="17277"/>
    <n v="362817"/>
    <x v="2"/>
    <x v="42"/>
    <d v="1899-12-30T13:51:00"/>
    <s v="Cash"/>
    <n v="34554"/>
    <n v="4761904762"/>
    <n v="17277"/>
    <n v="51"/>
    <n v="34554"/>
  </r>
  <r>
    <s v="316-66-3011"/>
    <s v="Alex"/>
    <x v="0"/>
    <s v="Member"/>
    <x v="0"/>
    <x v="4"/>
    <n v="4763"/>
    <n v="9"/>
    <n v="214335"/>
    <n v="4501035"/>
    <x v="0"/>
    <x v="54"/>
    <d v="1899-12-30T12:35:00"/>
    <s v="Cash"/>
    <n v="42867"/>
    <n v="4761904762"/>
    <n v="214335"/>
    <n v="5"/>
    <n v="42867"/>
  </r>
  <r>
    <s v="848-95-6252"/>
    <s v="Giza"/>
    <x v="1"/>
    <s v="Member"/>
    <x v="0"/>
    <x v="2"/>
    <n v="8627"/>
    <n v="1"/>
    <n v="43135"/>
    <n v="905835"/>
    <x v="2"/>
    <x v="9"/>
    <d v="1899-12-30T13:24:00"/>
    <s v="Ewallet"/>
    <n v="8627"/>
    <n v="4761904762"/>
    <n v="43135"/>
    <n v="7"/>
    <n v="8627"/>
  </r>
  <r>
    <s v="840-76-5966"/>
    <s v="Alex"/>
    <x v="0"/>
    <s v="Member"/>
    <x v="1"/>
    <x v="3"/>
    <n v="1276"/>
    <n v="2"/>
    <n v="1276"/>
    <n v="26796"/>
    <x v="0"/>
    <x v="66"/>
    <d v="1899-12-30T18:06:00"/>
    <s v="Ewallet"/>
    <n v="2552"/>
    <n v="4761904762"/>
    <n v="1276"/>
    <n v="78"/>
    <n v="2552"/>
  </r>
  <r>
    <s v="152-03-4217"/>
    <s v="Cairo"/>
    <x v="2"/>
    <s v="Normal"/>
    <x v="0"/>
    <x v="2"/>
    <n v="1128"/>
    <n v="9"/>
    <n v="5076"/>
    <n v="106596"/>
    <x v="1"/>
    <x v="85"/>
    <d v="1899-12-30T11:55:00"/>
    <s v="Credit card"/>
    <n v="10152"/>
    <n v="4761904762"/>
    <n v="5076"/>
    <n v="43"/>
    <n v="10152"/>
  </r>
  <r>
    <s v="533-66-5566"/>
    <s v="Cairo"/>
    <x v="2"/>
    <s v="Normal"/>
    <x v="0"/>
    <x v="2"/>
    <n v="5107"/>
    <n v="7"/>
    <n v="178745"/>
    <n v="3753645"/>
    <x v="0"/>
    <x v="52"/>
    <d v="1899-12-30T11:42:00"/>
    <s v="Cash"/>
    <n v="35749"/>
    <n v="4761904762"/>
    <n v="178745"/>
    <n v="7"/>
    <n v="35749"/>
  </r>
  <r>
    <s v="124-31-1458"/>
    <s v="Alex"/>
    <x v="0"/>
    <s v="Member"/>
    <x v="0"/>
    <x v="1"/>
    <n v="7959"/>
    <n v="3"/>
    <n v="119385"/>
    <n v="2507085"/>
    <x v="0"/>
    <x v="66"/>
    <d v="1899-12-30T14:30:00"/>
    <s v="Cash"/>
    <n v="23877"/>
    <n v="4761904762"/>
    <n v="119385"/>
    <n v="66"/>
    <n v="23877"/>
  </r>
  <r>
    <s v="176-78-1170"/>
    <s v="Giza"/>
    <x v="1"/>
    <s v="Member"/>
    <x v="1"/>
    <x v="0"/>
    <n v="3381"/>
    <n v="3"/>
    <n v="50715"/>
    <n v="1065015"/>
    <x v="0"/>
    <x v="53"/>
    <d v="1899-12-30T15:11:00"/>
    <s v="Ewallet"/>
    <n v="10143"/>
    <n v="4761904762"/>
    <n v="50715"/>
    <n v="73"/>
    <n v="10143"/>
  </r>
  <r>
    <s v="361-59-0574"/>
    <s v="Cairo"/>
    <x v="2"/>
    <s v="Member"/>
    <x v="1"/>
    <x v="3"/>
    <n v="9053"/>
    <n v="8"/>
    <n v="36212"/>
    <n v="760452"/>
    <x v="1"/>
    <x v="20"/>
    <d v="1899-12-30T14:48:00"/>
    <s v="Credit card"/>
    <n v="72424"/>
    <n v="4761904762"/>
    <n v="36212"/>
    <n v="65"/>
    <n v="72424"/>
  </r>
  <r>
    <s v="101-81-4070"/>
    <s v="Giza"/>
    <x v="1"/>
    <s v="Member"/>
    <x v="0"/>
    <x v="0"/>
    <n v="6282"/>
    <n v="2"/>
    <n v="6282"/>
    <n v="131922"/>
    <x v="0"/>
    <x v="29"/>
    <d v="1899-12-30T12:36:00"/>
    <s v="Ewallet"/>
    <n v="12564"/>
    <n v="4761904762"/>
    <n v="6282"/>
    <n v="49"/>
    <n v="12564"/>
  </r>
  <r>
    <s v="631-34-1880"/>
    <s v="Giza"/>
    <x v="1"/>
    <s v="Member"/>
    <x v="1"/>
    <x v="4"/>
    <n v="2431"/>
    <n v="3"/>
    <n v="36465"/>
    <n v="765765"/>
    <x v="0"/>
    <x v="66"/>
    <d v="1899-12-30T19:09:00"/>
    <s v="Credit card"/>
    <n v="7293"/>
    <n v="4761904762"/>
    <n v="36465"/>
    <n v="43"/>
    <n v="7293"/>
  </r>
  <r>
    <s v="852-82-2749"/>
    <s v="Alex"/>
    <x v="0"/>
    <s v="Normal"/>
    <x v="1"/>
    <x v="3"/>
    <n v="6459"/>
    <n v="4"/>
    <n v="12918"/>
    <n v="271278"/>
    <x v="0"/>
    <x v="47"/>
    <d v="1899-12-30T13:35:00"/>
    <s v="Ewallet"/>
    <n v="25836"/>
    <n v="4761904762"/>
    <n v="12918"/>
    <n v="93"/>
    <n v="25836"/>
  </r>
  <r>
    <s v="873-14-6353"/>
    <s v="Alex"/>
    <x v="0"/>
    <s v="Member"/>
    <x v="1"/>
    <x v="4"/>
    <n v="2482"/>
    <n v="7"/>
    <n v="8687"/>
    <n v="182427"/>
    <x v="2"/>
    <x v="69"/>
    <d v="1899-12-30T10:33:00"/>
    <s v="Credit card"/>
    <n v="17374"/>
    <n v="4761904762"/>
    <n v="8687"/>
    <n v="71"/>
    <n v="17374"/>
  </r>
  <r>
    <s v="584-66-4073"/>
    <s v="Giza"/>
    <x v="1"/>
    <s v="Normal"/>
    <x v="1"/>
    <x v="5"/>
    <n v="565"/>
    <n v="1"/>
    <n v="2825"/>
    <n v="59325"/>
    <x v="1"/>
    <x v="45"/>
    <d v="1899-12-30T15:45:00"/>
    <s v="Ewallet"/>
    <n v="565"/>
    <n v="4761904762"/>
    <n v="2825"/>
    <n v="96"/>
    <n v="565"/>
  </r>
  <r>
    <s v="544-55-9589"/>
    <s v="Cairo"/>
    <x v="2"/>
    <s v="Member"/>
    <x v="0"/>
    <x v="1"/>
    <n v="2143"/>
    <n v="10"/>
    <n v="10715"/>
    <n v="225015"/>
    <x v="0"/>
    <x v="26"/>
    <d v="1899-12-30T11:51:00"/>
    <s v="Cash"/>
    <n v="2143"/>
    <n v="4761904762"/>
    <n v="10715"/>
    <n v="62"/>
    <n v="21430"/>
  </r>
  <r>
    <s v="166-19-2553"/>
    <s v="Alex"/>
    <x v="0"/>
    <s v="Member"/>
    <x v="1"/>
    <x v="3"/>
    <n v="8906"/>
    <n v="6"/>
    <n v="26718"/>
    <n v="561078"/>
    <x v="0"/>
    <x v="68"/>
    <d v="1899-12-30T17:26:00"/>
    <s v="Cash"/>
    <n v="53436"/>
    <n v="4761904762"/>
    <n v="26718"/>
    <n v="99"/>
    <n v="53436"/>
  </r>
  <r>
    <s v="737-88-5876"/>
    <s v="Alex"/>
    <x v="0"/>
    <s v="Member"/>
    <x v="1"/>
    <x v="2"/>
    <n v="2329"/>
    <n v="4"/>
    <n v="4658"/>
    <n v="97818"/>
    <x v="1"/>
    <x v="35"/>
    <d v="1899-12-30T11:52:00"/>
    <s v="Credit card"/>
    <n v="9316"/>
    <n v="4761904762"/>
    <n v="4658"/>
    <n v="59"/>
    <n v="9316"/>
  </r>
  <r>
    <s v="154-87-7367"/>
    <s v="Giza"/>
    <x v="1"/>
    <s v="Normal"/>
    <x v="1"/>
    <x v="2"/>
    <n v="6526"/>
    <n v="8"/>
    <n v="26104"/>
    <n v="548184"/>
    <x v="1"/>
    <x v="20"/>
    <d v="1899-12-30T14:04:00"/>
    <s v="Ewallet"/>
    <n v="52208"/>
    <n v="4761904762"/>
    <n v="26104"/>
    <n v="63"/>
    <n v="52208"/>
  </r>
  <r>
    <s v="885-56-0389"/>
    <s v="Giza"/>
    <x v="1"/>
    <s v="Member"/>
    <x v="1"/>
    <x v="5"/>
    <n v="5235"/>
    <n v="1"/>
    <n v="26175"/>
    <n v="549675"/>
    <x v="2"/>
    <x v="12"/>
    <d v="1899-12-30T17:49:00"/>
    <s v="Cash"/>
    <n v="5235"/>
    <n v="4761904762"/>
    <n v="26175"/>
    <n v="4"/>
    <n v="5235"/>
  </r>
  <r>
    <s v="608-05-3804"/>
    <s v="Cairo"/>
    <x v="2"/>
    <s v="Member"/>
    <x v="1"/>
    <x v="1"/>
    <n v="3975"/>
    <n v="1"/>
    <n v="19875"/>
    <n v="417375"/>
    <x v="2"/>
    <x v="6"/>
    <d v="1899-12-30T20:19:00"/>
    <s v="Cash"/>
    <n v="3975"/>
    <n v="4761904762"/>
    <n v="19875"/>
    <n v="61"/>
    <n v="3975"/>
  </r>
  <r>
    <s v="448-61-3783"/>
    <s v="Alex"/>
    <x v="0"/>
    <s v="Normal"/>
    <x v="0"/>
    <x v="1"/>
    <n v="9002"/>
    <n v="8"/>
    <n v="36008"/>
    <n v="756168"/>
    <x v="1"/>
    <x v="76"/>
    <d v="1899-12-30T16:08:00"/>
    <s v="Credit card"/>
    <n v="72016"/>
    <n v="4761904762"/>
    <n v="36008"/>
    <n v="45"/>
    <n v="72016"/>
  </r>
  <r>
    <s v="761-49-0439"/>
    <s v="Cairo"/>
    <x v="2"/>
    <s v="Member"/>
    <x v="0"/>
    <x v="1"/>
    <n v="121"/>
    <n v="8"/>
    <n v="484"/>
    <n v="10164"/>
    <x v="0"/>
    <x v="64"/>
    <d v="1899-12-30T10:17:00"/>
    <s v="Ewallet"/>
    <n v="968"/>
    <n v="4761904762"/>
    <n v="484"/>
    <n v="86"/>
    <n v="968"/>
  </r>
  <r>
    <s v="490-95-0021"/>
    <s v="Cairo"/>
    <x v="2"/>
    <s v="Member"/>
    <x v="0"/>
    <x v="4"/>
    <n v="3321"/>
    <n v="10"/>
    <n v="16605"/>
    <n v="348705"/>
    <x v="0"/>
    <x v="66"/>
    <d v="1899-12-30T14:25:00"/>
    <s v="Ewallet"/>
    <n v="3321"/>
    <n v="4761904762"/>
    <n v="16605"/>
    <n v="6"/>
    <n v="33210"/>
  </r>
  <r>
    <s v="115-38-7388"/>
    <s v="Giza"/>
    <x v="1"/>
    <s v="Member"/>
    <x v="0"/>
    <x v="5"/>
    <n v="1018"/>
    <n v="8"/>
    <n v="4072"/>
    <n v="85512"/>
    <x v="1"/>
    <x v="73"/>
    <d v="1899-12-30T12:51:00"/>
    <s v="Credit card"/>
    <n v="8144"/>
    <n v="4761904762"/>
    <n v="4072"/>
    <n v="95"/>
    <n v="8144"/>
  </r>
  <r>
    <s v="311-13-6971"/>
    <s v="Cairo"/>
    <x v="2"/>
    <s v="Member"/>
    <x v="1"/>
    <x v="3"/>
    <n v="3199"/>
    <n v="10"/>
    <n v="15995"/>
    <n v="335895"/>
    <x v="2"/>
    <x v="9"/>
    <d v="1899-12-30T15:18:00"/>
    <s v="Credit card"/>
    <n v="3199"/>
    <n v="4761904762"/>
    <n v="15995"/>
    <n v="99"/>
    <n v="31990"/>
  </r>
  <r>
    <s v="291-55-6563"/>
    <s v="Alex"/>
    <x v="0"/>
    <s v="Member"/>
    <x v="0"/>
    <x v="2"/>
    <n v="3442"/>
    <n v="6"/>
    <n v="10326"/>
    <n v="216846"/>
    <x v="1"/>
    <x v="73"/>
    <d v="1899-12-30T12:45:00"/>
    <s v="Ewallet"/>
    <n v="20652"/>
    <n v="4761904762"/>
    <n v="10326"/>
    <n v="75"/>
    <n v="20652"/>
  </r>
  <r>
    <s v="548-48-3156"/>
    <s v="Alex"/>
    <x v="0"/>
    <s v="Member"/>
    <x v="0"/>
    <x v="4"/>
    <n v="8334"/>
    <n v="2"/>
    <n v="8334"/>
    <n v="175014"/>
    <x v="1"/>
    <x v="35"/>
    <d v="1899-12-30T13:37:00"/>
    <s v="Cash"/>
    <n v="16668"/>
    <n v="4761904762"/>
    <n v="8334"/>
    <n v="76"/>
    <n v="16668"/>
  </r>
  <r>
    <s v="460-93-5834"/>
    <s v="Alex"/>
    <x v="0"/>
    <s v="Normal"/>
    <x v="1"/>
    <x v="3"/>
    <n v="4558"/>
    <n v="7"/>
    <n v="15953"/>
    <n v="335013"/>
    <x v="0"/>
    <x v="50"/>
    <d v="1899-12-30T10:03:00"/>
    <s v="Cash"/>
    <n v="31906"/>
    <n v="4761904762"/>
    <n v="15953"/>
    <n v="5"/>
    <n v="31906"/>
  </r>
  <r>
    <s v="325-89-4209"/>
    <s v="Alex"/>
    <x v="0"/>
    <s v="Member"/>
    <x v="1"/>
    <x v="4"/>
    <n v="879"/>
    <n v="1"/>
    <n v="4395"/>
    <n v="92295"/>
    <x v="2"/>
    <x v="63"/>
    <d v="1899-12-30T19:42:00"/>
    <s v="Ewallet"/>
    <n v="879"/>
    <n v="4761904762"/>
    <n v="4395"/>
    <n v="67"/>
    <n v="879"/>
  </r>
  <r>
    <s v="884-80-6021"/>
    <s v="Alex"/>
    <x v="0"/>
    <s v="Member"/>
    <x v="0"/>
    <x v="1"/>
    <n v="7347"/>
    <n v="10"/>
    <n v="36735"/>
    <n v="771435"/>
    <x v="1"/>
    <x v="28"/>
    <d v="1899-12-30T13:14:00"/>
    <s v="Ewallet"/>
    <n v="7347"/>
    <n v="4761904762"/>
    <n v="36735"/>
    <n v="95"/>
    <n v="73470"/>
  </r>
  <r>
    <s v="137-74-8729"/>
    <s v="Giza"/>
    <x v="1"/>
    <s v="Normal"/>
    <x v="0"/>
    <x v="5"/>
    <n v="1219"/>
    <n v="8"/>
    <n v="4876"/>
    <n v="102396"/>
    <x v="1"/>
    <x v="45"/>
    <d v="1899-12-30T12:47:00"/>
    <s v="Ewallet"/>
    <n v="9752"/>
    <n v="4761904762"/>
    <n v="4876"/>
    <n v="68"/>
    <n v="9752"/>
  </r>
  <r>
    <s v="880-46-5796"/>
    <s v="Alex"/>
    <x v="0"/>
    <s v="Member"/>
    <x v="1"/>
    <x v="3"/>
    <n v="7692"/>
    <n v="10"/>
    <n v="3846"/>
    <n v="80766"/>
    <x v="1"/>
    <x v="85"/>
    <d v="1899-12-30T19:53:00"/>
    <s v="Ewallet"/>
    <n v="7692"/>
    <n v="4761904762"/>
    <n v="3846"/>
    <n v="56"/>
    <n v="76920"/>
  </r>
  <r>
    <s v="389-70-2397"/>
    <s v="Giza"/>
    <x v="1"/>
    <s v="Normal"/>
    <x v="0"/>
    <x v="0"/>
    <n v="8366"/>
    <n v="5"/>
    <n v="20915"/>
    <n v="439215"/>
    <x v="2"/>
    <x v="81"/>
    <d v="1899-12-30T10:26:00"/>
    <s v="Cash"/>
    <n v="4183"/>
    <n v="4761904762"/>
    <n v="20915"/>
    <n v="72"/>
    <n v="41830"/>
  </r>
  <r>
    <s v="114-35-5271"/>
    <s v="Cairo"/>
    <x v="2"/>
    <s v="Normal"/>
    <x v="0"/>
    <x v="1"/>
    <n v="5791"/>
    <n v="8"/>
    <n v="23164"/>
    <n v="486444"/>
    <x v="2"/>
    <x v="13"/>
    <d v="1899-12-30T15:06:00"/>
    <s v="Cash"/>
    <n v="46328"/>
    <n v="4761904762"/>
    <n v="23164"/>
    <n v="81"/>
    <n v="46328"/>
  </r>
  <r>
    <s v="607-76-6216"/>
    <s v="Giza"/>
    <x v="1"/>
    <s v="Member"/>
    <x v="0"/>
    <x v="5"/>
    <n v="9249"/>
    <n v="5"/>
    <n v="231225"/>
    <n v="4855725"/>
    <x v="1"/>
    <x v="22"/>
    <d v="1899-12-30T16:35:00"/>
    <s v="Credit card"/>
    <n v="46245"/>
    <n v="4761904762"/>
    <n v="231225"/>
    <n v="86"/>
    <n v="46245"/>
  </r>
  <r>
    <s v="715-20-1673"/>
    <s v="Cairo"/>
    <x v="2"/>
    <s v="Normal"/>
    <x v="1"/>
    <x v="1"/>
    <n v="2838"/>
    <n v="5"/>
    <n v="7095"/>
    <n v="148995"/>
    <x v="1"/>
    <x v="43"/>
    <d v="1899-12-30T20:57:00"/>
    <s v="Cash"/>
    <n v="1419"/>
    <n v="4761904762"/>
    <n v="7095"/>
    <n v="94"/>
    <n v="14190"/>
  </r>
  <r>
    <s v="811-35-1094"/>
    <s v="Cairo"/>
    <x v="2"/>
    <s v="Member"/>
    <x v="1"/>
    <x v="1"/>
    <n v="5045"/>
    <n v="6"/>
    <n v="15135"/>
    <n v="317835"/>
    <x v="2"/>
    <x v="10"/>
    <d v="1899-12-30T15:16:00"/>
    <s v="Credit card"/>
    <n v="3027"/>
    <n v="4761904762"/>
    <n v="15135"/>
    <n v="89"/>
    <n v="30270"/>
  </r>
  <r>
    <s v="699-88-1972"/>
    <s v="Cairo"/>
    <x v="2"/>
    <s v="Normal"/>
    <x v="1"/>
    <x v="0"/>
    <n v="9916"/>
    <n v="8"/>
    <n v="39664"/>
    <n v="832944"/>
    <x v="0"/>
    <x v="26"/>
    <d v="1899-12-30T17:47:00"/>
    <s v="Credit card"/>
    <n v="79328"/>
    <n v="4761904762"/>
    <n v="39664"/>
    <n v="42"/>
    <n v="79328"/>
  </r>
  <r>
    <s v="781-84-8059"/>
    <s v="Giza"/>
    <x v="1"/>
    <s v="Normal"/>
    <x v="1"/>
    <x v="5"/>
    <n v="6074"/>
    <n v="7"/>
    <n v="21259"/>
    <n v="446439"/>
    <x v="0"/>
    <x v="68"/>
    <d v="1899-12-30T16:23:00"/>
    <s v="Ewallet"/>
    <n v="42518"/>
    <n v="4761904762"/>
    <n v="21259"/>
    <n v="5"/>
    <n v="42518"/>
  </r>
  <r>
    <s v="409-49-6995"/>
    <s v="Giza"/>
    <x v="1"/>
    <s v="Member"/>
    <x v="0"/>
    <x v="4"/>
    <n v="4727"/>
    <n v="6"/>
    <n v="14181"/>
    <n v="297801"/>
    <x v="2"/>
    <x v="63"/>
    <d v="1899-12-30T10:17:00"/>
    <s v="Cash"/>
    <n v="28362"/>
    <n v="4761904762"/>
    <n v="14181"/>
    <n v="88"/>
    <n v="28362"/>
  </r>
  <r>
    <s v="725-54-0677"/>
    <s v="Giza"/>
    <x v="1"/>
    <s v="Member"/>
    <x v="1"/>
    <x v="0"/>
    <n v="856"/>
    <n v="7"/>
    <n v="2996"/>
    <n v="62916"/>
    <x v="1"/>
    <x v="22"/>
    <d v="1899-12-30T13:50:00"/>
    <s v="Cash"/>
    <n v="5992"/>
    <n v="4761904762"/>
    <n v="2996"/>
    <n v="53"/>
    <n v="5992"/>
  </r>
  <r>
    <s v="146-09-5432"/>
    <s v="Alex"/>
    <x v="0"/>
    <s v="Member"/>
    <x v="1"/>
    <x v="4"/>
    <n v="3504"/>
    <n v="9"/>
    <n v="15768"/>
    <n v="331128"/>
    <x v="2"/>
    <x v="57"/>
    <d v="1899-12-30T19:17:00"/>
    <s v="Ewallet"/>
    <n v="31536"/>
    <n v="4761904762"/>
    <n v="15768"/>
    <n v="46"/>
    <n v="31536"/>
  </r>
  <r>
    <s v="377-79-7592"/>
    <s v="Giza"/>
    <x v="1"/>
    <s v="Member"/>
    <x v="0"/>
    <x v="1"/>
    <n v="4484"/>
    <n v="9"/>
    <n v="20178"/>
    <n v="423738"/>
    <x v="0"/>
    <x v="78"/>
    <d v="1899-12-30T14:00:00"/>
    <s v="Credit card"/>
    <n v="40356"/>
    <n v="4761904762"/>
    <n v="20178"/>
    <n v="75"/>
    <n v="40356"/>
  </r>
  <r>
    <s v="509-10-0516"/>
    <s v="Cairo"/>
    <x v="2"/>
    <s v="Normal"/>
    <x v="1"/>
    <x v="2"/>
    <n v="4597"/>
    <n v="4"/>
    <n v="9194"/>
    <n v="193074"/>
    <x v="2"/>
    <x v="57"/>
    <d v="1899-12-30T12:02:00"/>
    <s v="Ewallet"/>
    <n v="18388"/>
    <n v="4761904762"/>
    <n v="9194"/>
    <n v="51"/>
    <n v="18388"/>
  </r>
  <r>
    <s v="595-94-9924"/>
    <s v="Alex"/>
    <x v="0"/>
    <s v="Member"/>
    <x v="0"/>
    <x v="0"/>
    <n v="2773"/>
    <n v="5"/>
    <n v="69325"/>
    <n v="1455825"/>
    <x v="1"/>
    <x v="58"/>
    <d v="1899-12-30T20:21:00"/>
    <s v="Credit card"/>
    <n v="13865"/>
    <n v="4761904762"/>
    <n v="69325"/>
    <n v="42"/>
    <n v="13865"/>
  </r>
  <r>
    <s v="865-41-9075"/>
    <s v="Alex"/>
    <x v="0"/>
    <s v="Normal"/>
    <x v="1"/>
    <x v="4"/>
    <n v="1153"/>
    <n v="7"/>
    <n v="40355"/>
    <n v="847455"/>
    <x v="0"/>
    <x v="26"/>
    <d v="1899-12-30T17:35:00"/>
    <s v="Cash"/>
    <n v="8071"/>
    <n v="4761904762"/>
    <n v="40355"/>
    <n v="81"/>
    <n v="8071"/>
  </r>
  <r>
    <s v="545-07-8534"/>
    <s v="Giza"/>
    <x v="1"/>
    <s v="Normal"/>
    <x v="0"/>
    <x v="0"/>
    <n v="5832"/>
    <n v="2"/>
    <n v="5832"/>
    <n v="122472"/>
    <x v="2"/>
    <x v="44"/>
    <d v="1899-12-30T12:42:00"/>
    <s v="Ewallet"/>
    <n v="11664"/>
    <n v="4761904762"/>
    <n v="5832"/>
    <n v="6"/>
    <n v="11664"/>
  </r>
  <r>
    <s v="118-62-1812"/>
    <s v="Giza"/>
    <x v="1"/>
    <s v="Member"/>
    <x v="0"/>
    <x v="2"/>
    <n v="7838"/>
    <n v="4"/>
    <n v="15676"/>
    <n v="329196"/>
    <x v="1"/>
    <x v="62"/>
    <d v="1899-12-30T17:56:00"/>
    <s v="Cash"/>
    <n v="31352"/>
    <n v="4761904762"/>
    <n v="15676"/>
    <n v="79"/>
    <n v="31352"/>
  </r>
  <r>
    <s v="450-42-3339"/>
    <s v="Giza"/>
    <x v="1"/>
    <s v="Normal"/>
    <x v="1"/>
    <x v="0"/>
    <n v="8461"/>
    <n v="10"/>
    <n v="42305"/>
    <n v="888405"/>
    <x v="2"/>
    <x v="57"/>
    <d v="1899-12-30T18:58:00"/>
    <s v="Credit card"/>
    <n v="8461"/>
    <n v="4761904762"/>
    <n v="42305"/>
    <n v="88"/>
    <n v="84610"/>
  </r>
  <r>
    <s v="851-98-3555"/>
    <s v="Cairo"/>
    <x v="2"/>
    <s v="Normal"/>
    <x v="0"/>
    <x v="0"/>
    <n v="8288"/>
    <n v="5"/>
    <n v="2072"/>
    <n v="43512"/>
    <x v="1"/>
    <x v="62"/>
    <d v="1899-12-30T14:08:00"/>
    <s v="Credit card"/>
    <n v="4144"/>
    <n v="4761904762"/>
    <n v="2072"/>
    <n v="66"/>
    <n v="41440"/>
  </r>
  <r>
    <s v="186-71-5196"/>
    <s v="Alex"/>
    <x v="0"/>
    <s v="Member"/>
    <x v="0"/>
    <x v="4"/>
    <n v="7954"/>
    <n v="2"/>
    <n v="7954"/>
    <n v="167034"/>
    <x v="1"/>
    <x v="39"/>
    <d v="1899-12-30T16:30:00"/>
    <s v="Ewallet"/>
    <n v="15908"/>
    <n v="4761904762"/>
    <n v="7954"/>
    <n v="62"/>
    <n v="15908"/>
  </r>
  <r>
    <s v="624-01-8356"/>
    <s v="Cairo"/>
    <x v="2"/>
    <s v="Normal"/>
    <x v="0"/>
    <x v="2"/>
    <n v="4901"/>
    <n v="10"/>
    <n v="24505"/>
    <n v="514605"/>
    <x v="0"/>
    <x v="3"/>
    <d v="1899-12-30T10:44:00"/>
    <s v="Credit card"/>
    <n v="4901"/>
    <n v="4761904762"/>
    <n v="24505"/>
    <n v="42"/>
    <n v="49010"/>
  </r>
  <r>
    <s v="313-66-9943"/>
    <s v="Cairo"/>
    <x v="2"/>
    <s v="Member"/>
    <x v="0"/>
    <x v="4"/>
    <n v="2915"/>
    <n v="3"/>
    <n v="43725"/>
    <n v="918225"/>
    <x v="1"/>
    <x v="39"/>
    <d v="1899-12-30T20:29:00"/>
    <s v="Credit card"/>
    <n v="8745"/>
    <n v="4761904762"/>
    <n v="43725"/>
    <n v="73"/>
    <n v="8745"/>
  </r>
  <r>
    <s v="151-27-8496"/>
    <s v="Giza"/>
    <x v="1"/>
    <s v="Normal"/>
    <x v="0"/>
    <x v="1"/>
    <n v="5613"/>
    <n v="4"/>
    <n v="11226"/>
    <n v="235746"/>
    <x v="0"/>
    <x v="64"/>
    <d v="1899-12-30T11:43:00"/>
    <s v="Ewallet"/>
    <n v="22452"/>
    <n v="4761904762"/>
    <n v="11226"/>
    <n v="86"/>
    <n v="22452"/>
  </r>
  <r>
    <s v="453-33-6436"/>
    <s v="Alex"/>
    <x v="0"/>
    <s v="Normal"/>
    <x v="0"/>
    <x v="2"/>
    <n v="9312"/>
    <n v="8"/>
    <n v="37248"/>
    <n v="782208"/>
    <x v="2"/>
    <x v="13"/>
    <d v="1899-12-30T10:09:00"/>
    <s v="Cash"/>
    <n v="74496"/>
    <n v="4761904762"/>
    <n v="37248"/>
    <n v="68"/>
    <n v="74496"/>
  </r>
  <r>
    <s v="522-57-8364"/>
    <s v="Alex"/>
    <x v="0"/>
    <s v="Member"/>
    <x v="1"/>
    <x v="5"/>
    <n v="5134"/>
    <n v="8"/>
    <n v="20536"/>
    <n v="431256"/>
    <x v="0"/>
    <x v="82"/>
    <d v="1899-12-30T10:00:00"/>
    <s v="Ewallet"/>
    <n v="41072"/>
    <n v="4761904762"/>
    <n v="20536"/>
    <n v="76"/>
    <n v="41072"/>
  </r>
  <r>
    <s v="459-45-2396"/>
    <s v="Alex"/>
    <x v="0"/>
    <s v="Member"/>
    <x v="0"/>
    <x v="4"/>
    <n v="996"/>
    <n v="3"/>
    <n v="1494"/>
    <n v="31374"/>
    <x v="2"/>
    <x v="6"/>
    <d v="1899-12-30T18:45:00"/>
    <s v="Cash"/>
    <n v="2988"/>
    <n v="4761904762"/>
    <n v="1494"/>
    <n v="58"/>
    <n v="2988"/>
  </r>
  <r>
    <s v="717-96-4189"/>
    <s v="Giza"/>
    <x v="1"/>
    <s v="Normal"/>
    <x v="0"/>
    <x v="1"/>
    <n v="3549"/>
    <n v="6"/>
    <n v="10647"/>
    <n v="223587"/>
    <x v="2"/>
    <x v="30"/>
    <d v="1899-12-30T12:40:00"/>
    <s v="Cash"/>
    <n v="21294"/>
    <n v="4761904762"/>
    <n v="10647"/>
    <n v="41"/>
    <n v="21294"/>
  </r>
  <r>
    <s v="722-13-2115"/>
    <s v="Giza"/>
    <x v="1"/>
    <s v="Member"/>
    <x v="1"/>
    <x v="3"/>
    <n v="4285"/>
    <n v="1"/>
    <n v="21425"/>
    <n v="449925"/>
    <x v="1"/>
    <x v="86"/>
    <d v="1899-12-30T15:36:00"/>
    <s v="Credit card"/>
    <n v="4285"/>
    <n v="4761904762"/>
    <n v="21425"/>
    <n v="93"/>
    <n v="4285"/>
  </r>
  <r>
    <s v="749-81-8133"/>
    <s v="Alex"/>
    <x v="0"/>
    <s v="Normal"/>
    <x v="0"/>
    <x v="5"/>
    <n v="9467"/>
    <n v="4"/>
    <n v="18934"/>
    <n v="397614"/>
    <x v="1"/>
    <x v="16"/>
    <d v="1899-12-30T12:04:00"/>
    <s v="Cash"/>
    <n v="37868"/>
    <n v="4761904762"/>
    <n v="18934"/>
    <n v="68"/>
    <n v="37868"/>
  </r>
  <r>
    <s v="777-67-2495"/>
    <s v="Cairo"/>
    <x v="2"/>
    <s v="Normal"/>
    <x v="1"/>
    <x v="2"/>
    <n v="6897"/>
    <n v="3"/>
    <n v="103455"/>
    <n v="2172555"/>
    <x v="2"/>
    <x v="70"/>
    <d v="1899-12-30T11:26:00"/>
    <s v="Ewallet"/>
    <n v="20691"/>
    <n v="4761904762"/>
    <n v="103455"/>
    <n v="87"/>
    <n v="20691"/>
  </r>
  <r>
    <s v="636-98-3364"/>
    <s v="Cairo"/>
    <x v="2"/>
    <s v="Member"/>
    <x v="0"/>
    <x v="1"/>
    <n v="2626"/>
    <n v="3"/>
    <n v="3939"/>
    <n v="82719"/>
    <x v="1"/>
    <x v="22"/>
    <d v="1899-12-30T12:36:00"/>
    <s v="Ewallet"/>
    <n v="7878"/>
    <n v="4761904762"/>
    <n v="3939"/>
    <n v="63"/>
    <n v="7878"/>
  </r>
  <r>
    <s v="246-55-6923"/>
    <s v="Giza"/>
    <x v="1"/>
    <s v="Member"/>
    <x v="0"/>
    <x v="2"/>
    <n v="3579"/>
    <n v="9"/>
    <n v="161055"/>
    <n v="3382155"/>
    <x v="1"/>
    <x v="24"/>
    <d v="1899-12-30T15:06:00"/>
    <s v="Credit card"/>
    <n v="32211"/>
    <n v="4761904762"/>
    <n v="161055"/>
    <n v="51"/>
    <n v="32211"/>
  </r>
  <r>
    <s v="181-82-6255"/>
    <s v="Cairo"/>
    <x v="2"/>
    <s v="Normal"/>
    <x v="0"/>
    <x v="2"/>
    <n v="1637"/>
    <n v="6"/>
    <n v="4911"/>
    <n v="103131"/>
    <x v="2"/>
    <x v="4"/>
    <d v="1899-12-30T10:58:00"/>
    <s v="Cash"/>
    <n v="9822"/>
    <n v="4761904762"/>
    <n v="4911"/>
    <n v="7"/>
    <n v="9822"/>
  </r>
  <r>
    <s v="838-02-1821"/>
    <s v="Giza"/>
    <x v="1"/>
    <s v="Member"/>
    <x v="0"/>
    <x v="2"/>
    <n v="1273"/>
    <n v="2"/>
    <n v="1273"/>
    <n v="26733"/>
    <x v="2"/>
    <x v="70"/>
    <d v="1899-12-30T12:10:00"/>
    <s v="Credit card"/>
    <n v="2546"/>
    <n v="4761904762"/>
    <n v="1273"/>
    <n v="52"/>
    <n v="2546"/>
  </r>
  <r>
    <s v="887-42-0517"/>
    <s v="Giza"/>
    <x v="1"/>
    <s v="Normal"/>
    <x v="0"/>
    <x v="3"/>
    <n v="8314"/>
    <n v="7"/>
    <n v="29099"/>
    <n v="611079"/>
    <x v="0"/>
    <x v="8"/>
    <d v="1899-12-30T10:31:00"/>
    <s v="Credit card"/>
    <n v="58198"/>
    <n v="4761904762"/>
    <n v="29099"/>
    <n v="66"/>
    <n v="58198"/>
  </r>
  <r>
    <s v="457-12-0244"/>
    <s v="Giza"/>
    <x v="1"/>
    <s v="Member"/>
    <x v="0"/>
    <x v="3"/>
    <n v="3522"/>
    <n v="6"/>
    <n v="10566"/>
    <n v="221886"/>
    <x v="1"/>
    <x v="86"/>
    <d v="1899-12-30T13:49:00"/>
    <s v="Ewallet"/>
    <n v="21132"/>
    <n v="4761904762"/>
    <n v="10566"/>
    <n v="65"/>
    <n v="21132"/>
  </r>
  <r>
    <s v="226-34-0034"/>
    <s v="Cairo"/>
    <x v="2"/>
    <s v="Normal"/>
    <x v="0"/>
    <x v="1"/>
    <n v="1378"/>
    <n v="4"/>
    <n v="2756"/>
    <n v="57876"/>
    <x v="0"/>
    <x v="8"/>
    <d v="1899-12-30T11:10:00"/>
    <s v="Ewallet"/>
    <n v="5512"/>
    <n v="4761904762"/>
    <n v="2756"/>
    <n v="9"/>
    <n v="5512"/>
  </r>
  <r>
    <s v="321-49-7382"/>
    <s v="Cairo"/>
    <x v="2"/>
    <s v="Member"/>
    <x v="1"/>
    <x v="3"/>
    <n v="8831"/>
    <n v="1"/>
    <n v="44155"/>
    <n v="927255"/>
    <x v="2"/>
    <x v="42"/>
    <d v="1899-12-30T17:38:00"/>
    <s v="Credit card"/>
    <n v="8831"/>
    <n v="4761904762"/>
    <n v="44155"/>
    <n v="52"/>
    <n v="8831"/>
  </r>
  <r>
    <s v="397-25-8725"/>
    <s v="Alex"/>
    <x v="0"/>
    <s v="Member"/>
    <x v="0"/>
    <x v="0"/>
    <n v="3962"/>
    <n v="9"/>
    <n v="17829"/>
    <n v="374409"/>
    <x v="0"/>
    <x v="50"/>
    <d v="1899-12-30T17:54:00"/>
    <s v="Credit card"/>
    <n v="35658"/>
    <n v="4761904762"/>
    <n v="17829"/>
    <n v="68"/>
    <n v="35658"/>
  </r>
  <r>
    <s v="431-66-2305"/>
    <s v="Cairo"/>
    <x v="2"/>
    <s v="Normal"/>
    <x v="0"/>
    <x v="1"/>
    <n v="8825"/>
    <n v="9"/>
    <n v="397125"/>
    <n v="8339625"/>
    <x v="2"/>
    <x v="42"/>
    <d v="1899-12-30T20:51:00"/>
    <s v="Credit card"/>
    <n v="79425"/>
    <n v="4761904762"/>
    <n v="397125"/>
    <n v="76"/>
    <n v="79425"/>
  </r>
  <r>
    <s v="825-94-5922"/>
    <s v="Cairo"/>
    <x v="2"/>
    <s v="Normal"/>
    <x v="1"/>
    <x v="3"/>
    <n v="2531"/>
    <n v="2"/>
    <n v="2531"/>
    <n v="53151"/>
    <x v="1"/>
    <x v="22"/>
    <d v="1899-12-30T19:26:00"/>
    <s v="Ewallet"/>
    <n v="5062"/>
    <n v="4761904762"/>
    <n v="2531"/>
    <n v="72"/>
    <n v="5062"/>
  </r>
  <r>
    <s v="641-62-7288"/>
    <s v="Cairo"/>
    <x v="2"/>
    <s v="Normal"/>
    <x v="1"/>
    <x v="2"/>
    <n v="9992"/>
    <n v="6"/>
    <n v="29976"/>
    <n v="629496"/>
    <x v="1"/>
    <x v="62"/>
    <d v="1899-12-30T13:33:00"/>
    <s v="Ewallet"/>
    <n v="59952"/>
    <n v="4761904762"/>
    <n v="29976"/>
    <n v="71"/>
    <n v="59952"/>
  </r>
  <r>
    <s v="756-93-1854"/>
    <s v="Giza"/>
    <x v="1"/>
    <s v="Member"/>
    <x v="0"/>
    <x v="5"/>
    <n v="8335"/>
    <n v="2"/>
    <n v="8335"/>
    <n v="175035"/>
    <x v="2"/>
    <x v="30"/>
    <d v="1899-12-30T14:05:00"/>
    <s v="Credit card"/>
    <n v="1667"/>
    <n v="4761904762"/>
    <n v="8335"/>
    <n v="95"/>
    <n v="16670"/>
  </r>
  <r>
    <s v="243-55-8457"/>
    <s v="Alex"/>
    <x v="0"/>
    <s v="Normal"/>
    <x v="0"/>
    <x v="4"/>
    <n v="7444"/>
    <n v="10"/>
    <n v="3722"/>
    <n v="78162"/>
    <x v="2"/>
    <x v="33"/>
    <d v="1899-12-30T11:40:00"/>
    <s v="Ewallet"/>
    <n v="7444"/>
    <n v="4761904762"/>
    <n v="3722"/>
    <n v="51"/>
    <n v="74440"/>
  </r>
  <r>
    <s v="458-10-8612"/>
    <s v="Giza"/>
    <x v="1"/>
    <s v="Normal"/>
    <x v="1"/>
    <x v="0"/>
    <n v="6408"/>
    <n v="7"/>
    <n v="22428"/>
    <n v="470988"/>
    <x v="0"/>
    <x v="40"/>
    <d v="1899-12-30T12:27:00"/>
    <s v="Ewallet"/>
    <n v="44856"/>
    <n v="4761904762"/>
    <n v="22428"/>
    <n v="76"/>
    <n v="44856"/>
  </r>
  <r>
    <s v="501-61-1753"/>
    <s v="Cairo"/>
    <x v="2"/>
    <s v="Normal"/>
    <x v="0"/>
    <x v="2"/>
    <n v="6315"/>
    <n v="6"/>
    <n v="18945"/>
    <n v="397845"/>
    <x v="0"/>
    <x v="75"/>
    <d v="1899-12-30T20:24:00"/>
    <s v="Ewallet"/>
    <n v="3789"/>
    <n v="4761904762"/>
    <n v="18945"/>
    <n v="98"/>
    <n v="37890"/>
  </r>
  <r>
    <s v="235-06-8510"/>
    <s v="Giza"/>
    <x v="1"/>
    <s v="Member"/>
    <x v="1"/>
    <x v="2"/>
    <n v="8572"/>
    <n v="3"/>
    <n v="12858"/>
    <n v="270018"/>
    <x v="0"/>
    <x v="46"/>
    <d v="1899-12-30T20:59:00"/>
    <s v="Ewallet"/>
    <n v="25716"/>
    <n v="4761904762"/>
    <n v="12858"/>
    <n v="51"/>
    <n v="25716"/>
  </r>
  <r>
    <s v="433-08-7822"/>
    <s v="Giza"/>
    <x v="1"/>
    <s v="Normal"/>
    <x v="0"/>
    <x v="0"/>
    <n v="7889"/>
    <n v="7"/>
    <n v="276115"/>
    <n v="5798415"/>
    <x v="0"/>
    <x v="0"/>
    <d v="1899-12-30T19:48:00"/>
    <s v="Ewallet"/>
    <n v="55223"/>
    <n v="4761904762"/>
    <n v="276115"/>
    <n v="75"/>
    <n v="55223"/>
  </r>
  <r>
    <s v="361-85-2571"/>
    <s v="Alex"/>
    <x v="0"/>
    <s v="Normal"/>
    <x v="0"/>
    <x v="3"/>
    <n v="8948"/>
    <n v="5"/>
    <n v="2237"/>
    <n v="46977"/>
    <x v="1"/>
    <x v="73"/>
    <d v="1899-12-30T10:18:00"/>
    <s v="Cash"/>
    <n v="4474"/>
    <n v="4761904762"/>
    <n v="2237"/>
    <n v="74"/>
    <n v="44740"/>
  </r>
  <r>
    <s v="131-70-8179"/>
    <s v="Alex"/>
    <x v="0"/>
    <s v="Member"/>
    <x v="0"/>
    <x v="0"/>
    <n v="9209"/>
    <n v="3"/>
    <n v="138135"/>
    <n v="2900835"/>
    <x v="2"/>
    <x v="21"/>
    <d v="1899-12-30T16:27:00"/>
    <s v="Cash"/>
    <n v="27627"/>
    <n v="4761904762"/>
    <n v="138135"/>
    <n v="42"/>
    <n v="27627"/>
  </r>
  <r>
    <s v="500-02-2261"/>
    <s v="Giza"/>
    <x v="1"/>
    <s v="Normal"/>
    <x v="0"/>
    <x v="4"/>
    <n v="5729"/>
    <n v="6"/>
    <n v="17187"/>
    <n v="360927"/>
    <x v="1"/>
    <x v="76"/>
    <d v="1899-12-30T17:04:00"/>
    <s v="Ewallet"/>
    <n v="34374"/>
    <n v="4761904762"/>
    <n v="17187"/>
    <n v="59"/>
    <n v="34374"/>
  </r>
  <r>
    <s v="720-72-2436"/>
    <s v="Alex"/>
    <x v="0"/>
    <s v="Normal"/>
    <x v="1"/>
    <x v="4"/>
    <n v="6652"/>
    <n v="4"/>
    <n v="13304"/>
    <n v="279384"/>
    <x v="1"/>
    <x v="22"/>
    <d v="1899-12-30T18:14:00"/>
    <s v="Ewallet"/>
    <n v="26608"/>
    <n v="4761904762"/>
    <n v="13304"/>
    <n v="69"/>
    <n v="26608"/>
  </r>
  <r>
    <s v="702-83-5291"/>
    <s v="Giza"/>
    <x v="1"/>
    <s v="Member"/>
    <x v="1"/>
    <x v="5"/>
    <n v="9982"/>
    <n v="9"/>
    <n v="44919"/>
    <n v="943299"/>
    <x v="1"/>
    <x v="39"/>
    <d v="1899-12-30T10:43:00"/>
    <s v="Cash"/>
    <n v="89838"/>
    <n v="4761904762"/>
    <n v="44919"/>
    <n v="66"/>
    <n v="89838"/>
  </r>
  <r>
    <s v="809-69-9497"/>
    <s v="Alex"/>
    <x v="0"/>
    <s v="Normal"/>
    <x v="0"/>
    <x v="2"/>
    <n v="4568"/>
    <n v="10"/>
    <n v="2284"/>
    <n v="47964"/>
    <x v="0"/>
    <x v="64"/>
    <d v="1899-12-30T19:30:00"/>
    <s v="Ewallet"/>
    <n v="4568"/>
    <n v="4761904762"/>
    <n v="2284"/>
    <n v="57"/>
    <n v="45680"/>
  </r>
  <r>
    <s v="449-16-6770"/>
    <s v="Alex"/>
    <x v="0"/>
    <s v="Normal"/>
    <x v="1"/>
    <x v="0"/>
    <n v="5079"/>
    <n v="5"/>
    <n v="126975"/>
    <n v="2666475"/>
    <x v="2"/>
    <x v="88"/>
    <d v="1899-12-30T14:53:00"/>
    <s v="Credit card"/>
    <n v="25395"/>
    <n v="4761904762"/>
    <n v="126975"/>
    <n v="53"/>
    <n v="25395"/>
  </r>
  <r>
    <s v="333-23-2632"/>
    <s v="Alex"/>
    <x v="0"/>
    <s v="Member"/>
    <x v="1"/>
    <x v="0"/>
    <n v="1008"/>
    <n v="7"/>
    <n v="3528"/>
    <n v="74088"/>
    <x v="1"/>
    <x v="61"/>
    <d v="1899-12-30T20:14:00"/>
    <s v="Cash"/>
    <n v="7056"/>
    <n v="4761904762"/>
    <n v="3528"/>
    <n v="42"/>
    <n v="7056"/>
  </r>
  <r>
    <s v="489-82-1237"/>
    <s v="Alex"/>
    <x v="0"/>
    <s v="Normal"/>
    <x v="0"/>
    <x v="1"/>
    <n v="9388"/>
    <n v="7"/>
    <n v="32858"/>
    <n v="690018"/>
    <x v="0"/>
    <x v="0"/>
    <d v="1899-12-30T11:51:00"/>
    <s v="Credit card"/>
    <n v="65716"/>
    <n v="4761904762"/>
    <n v="32858"/>
    <n v="73"/>
    <n v="65716"/>
  </r>
  <r>
    <s v="859-97-6048"/>
    <s v="Giza"/>
    <x v="1"/>
    <s v="Member"/>
    <x v="1"/>
    <x v="1"/>
    <n v="8425"/>
    <n v="2"/>
    <n v="8425"/>
    <n v="176925"/>
    <x v="1"/>
    <x v="58"/>
    <d v="1899-12-30T14:13:00"/>
    <s v="Credit card"/>
    <n v="1685"/>
    <n v="4761904762"/>
    <n v="8425"/>
    <n v="53"/>
    <n v="16850"/>
  </r>
  <r>
    <s v="676-10-2200"/>
    <s v="Cairo"/>
    <x v="2"/>
    <s v="Member"/>
    <x v="1"/>
    <x v="5"/>
    <n v="5378"/>
    <n v="1"/>
    <n v="2689"/>
    <n v="56469"/>
    <x v="2"/>
    <x v="36"/>
    <d v="1899-12-30T20:13:00"/>
    <s v="Ewallet"/>
    <n v="5378"/>
    <n v="4761904762"/>
    <n v="2689"/>
    <n v="47"/>
    <n v="5378"/>
  </r>
  <r>
    <s v="373-88-1424"/>
    <s v="Giza"/>
    <x v="1"/>
    <s v="Member"/>
    <x v="1"/>
    <x v="2"/>
    <n v="3581"/>
    <n v="5"/>
    <n v="89525"/>
    <n v="1880025"/>
    <x v="2"/>
    <x v="10"/>
    <d v="1899-12-30T18:44:00"/>
    <s v="Ewallet"/>
    <n v="17905"/>
    <n v="4761904762"/>
    <n v="89525"/>
    <n v="79"/>
    <n v="17905"/>
  </r>
  <r>
    <s v="365-16-4334"/>
    <s v="Cairo"/>
    <x v="2"/>
    <s v="Normal"/>
    <x v="0"/>
    <x v="4"/>
    <n v="2643"/>
    <n v="8"/>
    <n v="10572"/>
    <n v="222012"/>
    <x v="2"/>
    <x v="7"/>
    <d v="1899-12-30T14:26:00"/>
    <s v="Ewallet"/>
    <n v="21144"/>
    <n v="4761904762"/>
    <n v="10572"/>
    <n v="89"/>
    <n v="21144"/>
  </r>
  <r>
    <s v="503-21-4385"/>
    <s v="Cairo"/>
    <x v="2"/>
    <s v="Member"/>
    <x v="1"/>
    <x v="0"/>
    <n v="3991"/>
    <n v="3"/>
    <n v="59865"/>
    <n v="1257165"/>
    <x v="2"/>
    <x v="81"/>
    <d v="1899-12-30T12:40:00"/>
    <s v="Ewallet"/>
    <n v="11973"/>
    <n v="4761904762"/>
    <n v="59865"/>
    <n v="93"/>
    <n v="11973"/>
  </r>
  <r>
    <s v="305-89-2768"/>
    <s v="Cairo"/>
    <x v="2"/>
    <s v="Member"/>
    <x v="0"/>
    <x v="2"/>
    <n v="219"/>
    <n v="3"/>
    <n v="3285"/>
    <n v="68985"/>
    <x v="0"/>
    <x v="51"/>
    <d v="1899-12-30T18:43:00"/>
    <s v="Ewallet"/>
    <n v="657"/>
    <n v="4761904762"/>
    <n v="3285"/>
    <n v="47"/>
    <n v="657"/>
  </r>
  <r>
    <s v="574-80-1489"/>
    <s v="Cairo"/>
    <x v="2"/>
    <s v="Member"/>
    <x v="0"/>
    <x v="4"/>
    <n v="6285"/>
    <n v="4"/>
    <n v="1257"/>
    <n v="26397"/>
    <x v="2"/>
    <x v="6"/>
    <d v="1899-12-30T13:22:00"/>
    <s v="Ewallet"/>
    <n v="2514"/>
    <n v="4761904762"/>
    <n v="1257"/>
    <n v="87"/>
    <n v="25140"/>
  </r>
  <r>
    <s v="784-08-0310"/>
    <s v="Giza"/>
    <x v="1"/>
    <s v="Member"/>
    <x v="0"/>
    <x v="4"/>
    <n v="2104"/>
    <n v="4"/>
    <n v="4208"/>
    <n v="88368"/>
    <x v="0"/>
    <x v="50"/>
    <d v="1899-12-30T13:58:00"/>
    <s v="Cash"/>
    <n v="8416"/>
    <n v="4761904762"/>
    <n v="4208"/>
    <n v="76"/>
    <n v="8416"/>
  </r>
  <r>
    <s v="200-40-6154"/>
    <s v="Cairo"/>
    <x v="2"/>
    <s v="Member"/>
    <x v="1"/>
    <x v="2"/>
    <n v="6591"/>
    <n v="6"/>
    <n v="19773"/>
    <n v="415233"/>
    <x v="2"/>
    <x v="57"/>
    <d v="1899-12-30T11:45:00"/>
    <s v="Cash"/>
    <n v="39546"/>
    <n v="4761904762"/>
    <n v="19773"/>
    <n v="57"/>
    <n v="39546"/>
  </r>
  <r>
    <s v="846-10-0341"/>
    <s v="Alex"/>
    <x v="0"/>
    <s v="Normal"/>
    <x v="0"/>
    <x v="5"/>
    <n v="4257"/>
    <n v="7"/>
    <n v="148995"/>
    <n v="3128895"/>
    <x v="0"/>
    <x v="47"/>
    <d v="1899-12-30T11:51:00"/>
    <s v="Cash"/>
    <n v="29799"/>
    <n v="4761904762"/>
    <n v="148995"/>
    <n v="68"/>
    <n v="29799"/>
  </r>
  <r>
    <s v="577-34-7579"/>
    <s v="Giza"/>
    <x v="1"/>
    <s v="Member"/>
    <x v="1"/>
    <x v="4"/>
    <n v="5049"/>
    <n v="9"/>
    <n v="227205"/>
    <n v="4771305"/>
    <x v="0"/>
    <x v="8"/>
    <d v="1899-12-30T17:16:00"/>
    <s v="Cash"/>
    <n v="45441"/>
    <n v="4761904762"/>
    <n v="227205"/>
    <n v="54"/>
    <n v="45441"/>
  </r>
  <r>
    <s v="430-02-3888"/>
    <s v="Cairo"/>
    <x v="2"/>
    <s v="Normal"/>
    <x v="1"/>
    <x v="1"/>
    <n v="4602"/>
    <n v="6"/>
    <n v="13806"/>
    <n v="289926"/>
    <x v="2"/>
    <x v="13"/>
    <d v="1899-12-30T15:55:00"/>
    <s v="Cash"/>
    <n v="27612"/>
    <n v="4761904762"/>
    <n v="13806"/>
    <n v="71"/>
    <n v="27612"/>
  </r>
  <r>
    <s v="867-47-1948"/>
    <s v="Giza"/>
    <x v="1"/>
    <s v="Normal"/>
    <x v="0"/>
    <x v="2"/>
    <n v="158"/>
    <n v="10"/>
    <n v="79"/>
    <n v="1659"/>
    <x v="0"/>
    <x v="51"/>
    <d v="1899-12-30T12:07:00"/>
    <s v="Cash"/>
    <n v="158"/>
    <n v="4761904762"/>
    <n v="79"/>
    <n v="78"/>
    <n v="1580"/>
  </r>
  <r>
    <s v="384-59-6655"/>
    <s v="Alex"/>
    <x v="0"/>
    <s v="Member"/>
    <x v="0"/>
    <x v="4"/>
    <n v="9866"/>
    <n v="9"/>
    <n v="44397"/>
    <n v="932337"/>
    <x v="2"/>
    <x v="88"/>
    <d v="1899-12-30T15:07:00"/>
    <s v="Cash"/>
    <n v="88794"/>
    <n v="4761904762"/>
    <n v="44397"/>
    <n v="84"/>
    <n v="88794"/>
  </r>
  <r>
    <s v="256-58-3609"/>
    <s v="Giza"/>
    <x v="1"/>
    <s v="Member"/>
    <x v="1"/>
    <x v="5"/>
    <n v="9198"/>
    <n v="1"/>
    <n v="4599"/>
    <n v="96579"/>
    <x v="1"/>
    <x v="79"/>
    <d v="1899-12-30T15:29:00"/>
    <s v="Cash"/>
    <n v="9198"/>
    <n v="4761904762"/>
    <n v="4599"/>
    <n v="98"/>
    <n v="9198"/>
  </r>
  <r>
    <s v="324-92-3863"/>
    <s v="Alex"/>
    <x v="0"/>
    <s v="Member"/>
    <x v="1"/>
    <x v="1"/>
    <n v="2089"/>
    <n v="2"/>
    <n v="2089"/>
    <n v="43869"/>
    <x v="2"/>
    <x v="63"/>
    <d v="1899-12-30T18:45:00"/>
    <s v="Cash"/>
    <n v="4178"/>
    <n v="4761904762"/>
    <n v="2089"/>
    <n v="98"/>
    <n v="4178"/>
  </r>
  <r>
    <s v="593-08-5916"/>
    <s v="Alex"/>
    <x v="0"/>
    <s v="Normal"/>
    <x v="0"/>
    <x v="5"/>
    <n v="155"/>
    <n v="1"/>
    <n v="775"/>
    <n v="16275"/>
    <x v="1"/>
    <x v="35"/>
    <d v="1899-12-30T15:23:00"/>
    <s v="Credit card"/>
    <n v="155"/>
    <n v="4761904762"/>
    <n v="775"/>
    <n v="74"/>
    <n v="155"/>
  </r>
  <r>
    <s v="364-34-2972"/>
    <s v="Giza"/>
    <x v="1"/>
    <s v="Member"/>
    <x v="1"/>
    <x v="1"/>
    <n v="9682"/>
    <n v="3"/>
    <n v="14523"/>
    <n v="304983"/>
    <x v="1"/>
    <x v="73"/>
    <d v="1899-12-30T20:37:00"/>
    <s v="Cash"/>
    <n v="29046"/>
    <n v="4761904762"/>
    <n v="14523"/>
    <n v="67"/>
    <n v="29046"/>
  </r>
  <r>
    <s v="794-42-3736"/>
    <s v="Cairo"/>
    <x v="2"/>
    <s v="Normal"/>
    <x v="1"/>
    <x v="4"/>
    <n v="3333"/>
    <n v="2"/>
    <n v="3333"/>
    <n v="69993"/>
    <x v="0"/>
    <x v="53"/>
    <d v="1899-12-30T14:41:00"/>
    <s v="Credit card"/>
    <n v="6666"/>
    <n v="4761904762"/>
    <n v="3333"/>
    <n v="64"/>
    <n v="6666"/>
  </r>
  <r>
    <s v="172-42-8274"/>
    <s v="Cairo"/>
    <x v="2"/>
    <s v="Normal"/>
    <x v="0"/>
    <x v="1"/>
    <n v="3827"/>
    <n v="2"/>
    <n v="3827"/>
    <n v="80367"/>
    <x v="1"/>
    <x v="22"/>
    <d v="1899-12-30T18:18:00"/>
    <s v="Credit card"/>
    <n v="7654"/>
    <n v="4761904762"/>
    <n v="3827"/>
    <n v="58"/>
    <n v="7654"/>
  </r>
  <r>
    <s v="558-60-5016"/>
    <s v="Alex"/>
    <x v="0"/>
    <s v="Normal"/>
    <x v="0"/>
    <x v="2"/>
    <n v="333"/>
    <n v="9"/>
    <n v="14985"/>
    <n v="314685"/>
    <x v="1"/>
    <x v="31"/>
    <d v="1899-12-30T15:27:00"/>
    <s v="Ewallet"/>
    <n v="2997"/>
    <n v="4761904762"/>
    <n v="14985"/>
    <n v="72"/>
    <n v="2997"/>
  </r>
  <r>
    <s v="195-06-0432"/>
    <s v="Alex"/>
    <x v="0"/>
    <s v="Member"/>
    <x v="1"/>
    <x v="2"/>
    <n v="8101"/>
    <n v="3"/>
    <n v="121515"/>
    <n v="2551815"/>
    <x v="0"/>
    <x v="50"/>
    <d v="1899-12-30T12:55:00"/>
    <s v="Credit card"/>
    <n v="24303"/>
    <n v="4761904762"/>
    <n v="121515"/>
    <n v="93"/>
    <n v="24303"/>
  </r>
  <r>
    <s v="605-03-2706"/>
    <s v="Alex"/>
    <x v="0"/>
    <s v="Normal"/>
    <x v="0"/>
    <x v="0"/>
    <n v="158"/>
    <n v="3"/>
    <n v="237"/>
    <n v="4977"/>
    <x v="1"/>
    <x v="5"/>
    <d v="1899-12-30T18:02:00"/>
    <s v="Cash"/>
    <n v="474"/>
    <n v="4761904762"/>
    <n v="237"/>
    <n v="95"/>
    <n v="474"/>
  </r>
  <r>
    <s v="214-30-2776"/>
    <s v="Cairo"/>
    <x v="2"/>
    <s v="Member"/>
    <x v="0"/>
    <x v="1"/>
    <n v="3449"/>
    <n v="5"/>
    <n v="86225"/>
    <n v="1810725"/>
    <x v="1"/>
    <x v="16"/>
    <d v="1899-12-30T19:44:00"/>
    <s v="Credit card"/>
    <n v="17245"/>
    <n v="4761904762"/>
    <n v="86225"/>
    <n v="9"/>
    <n v="17245"/>
  </r>
  <r>
    <s v="746-04-1077"/>
    <s v="Cairo"/>
    <x v="2"/>
    <s v="Member"/>
    <x v="0"/>
    <x v="4"/>
    <n v="8463"/>
    <n v="10"/>
    <n v="42315"/>
    <n v="888615"/>
    <x v="0"/>
    <x v="17"/>
    <d v="1899-12-30T11:36:00"/>
    <s v="Credit card"/>
    <n v="8463"/>
    <n v="4761904762"/>
    <n v="42315"/>
    <n v="9"/>
    <n v="84630"/>
  </r>
  <r>
    <s v="448-34-8700"/>
    <s v="Cairo"/>
    <x v="2"/>
    <s v="Member"/>
    <x v="1"/>
    <x v="2"/>
    <n v="3691"/>
    <n v="7"/>
    <n v="129185"/>
    <n v="2712885"/>
    <x v="2"/>
    <x v="34"/>
    <d v="1899-12-30T13:51:00"/>
    <s v="Ewallet"/>
    <n v="25837"/>
    <n v="4761904762"/>
    <n v="129185"/>
    <n v="67"/>
    <n v="25837"/>
  </r>
  <r>
    <s v="452-04-8808"/>
    <s v="Cairo"/>
    <x v="2"/>
    <s v="Normal"/>
    <x v="1"/>
    <x v="1"/>
    <n v="8708"/>
    <n v="7"/>
    <n v="30478"/>
    <n v="640038"/>
    <x v="0"/>
    <x v="53"/>
    <d v="1899-12-30T15:17:00"/>
    <s v="Cash"/>
    <n v="60956"/>
    <n v="4761904762"/>
    <n v="30478"/>
    <n v="55"/>
    <n v="60956"/>
  </r>
  <r>
    <s v="531-56-4728"/>
    <s v="Alex"/>
    <x v="0"/>
    <s v="Normal"/>
    <x v="1"/>
    <x v="2"/>
    <n v="8008"/>
    <n v="3"/>
    <n v="12012"/>
    <n v="252252"/>
    <x v="2"/>
    <x v="48"/>
    <d v="1899-12-30T15:29:00"/>
    <s v="Cash"/>
    <n v="24024"/>
    <n v="4761904762"/>
    <n v="12012"/>
    <n v="54"/>
    <n v="24024"/>
  </r>
  <r>
    <s v="744-82-9138"/>
    <s v="Giza"/>
    <x v="1"/>
    <s v="Normal"/>
    <x v="1"/>
    <x v="5"/>
    <n v="8613"/>
    <n v="2"/>
    <n v="8613"/>
    <n v="180873"/>
    <x v="2"/>
    <x v="13"/>
    <d v="1899-12-30T17:59:00"/>
    <s v="Cash"/>
    <n v="17226"/>
    <n v="4761904762"/>
    <n v="8613"/>
    <n v="82"/>
    <n v="17226"/>
  </r>
  <r>
    <s v="883-69-1285"/>
    <s v="Cairo"/>
    <x v="2"/>
    <s v="Member"/>
    <x v="1"/>
    <x v="5"/>
    <n v="4992"/>
    <n v="2"/>
    <n v="4992"/>
    <n v="104832"/>
    <x v="1"/>
    <x v="43"/>
    <d v="1899-12-30T11:55:00"/>
    <s v="Credit card"/>
    <n v="9984"/>
    <n v="4761904762"/>
    <n v="4992"/>
    <n v="7"/>
    <n v="9984"/>
  </r>
  <r>
    <s v="221-25-5073"/>
    <s v="Alex"/>
    <x v="0"/>
    <s v="Normal"/>
    <x v="0"/>
    <x v="4"/>
    <n v="7466"/>
    <n v="4"/>
    <n v="14932"/>
    <n v="313572"/>
    <x v="1"/>
    <x v="31"/>
    <d v="1899-12-30T10:39:00"/>
    <s v="Cash"/>
    <n v="29864"/>
    <n v="4761904762"/>
    <n v="14932"/>
    <n v="85"/>
    <n v="29864"/>
  </r>
  <r>
    <s v="518-71-6847"/>
    <s v="Cairo"/>
    <x v="2"/>
    <s v="Member"/>
    <x v="1"/>
    <x v="4"/>
    <n v="266"/>
    <n v="6"/>
    <n v="798"/>
    <n v="16758"/>
    <x v="2"/>
    <x v="84"/>
    <d v="1899-12-30T15:10:00"/>
    <s v="Ewallet"/>
    <n v="1596"/>
    <n v="4761904762"/>
    <n v="798"/>
    <n v="49"/>
    <n v="1596"/>
  </r>
  <r>
    <s v="156-20-0370"/>
    <s v="Cairo"/>
    <x v="2"/>
    <s v="Normal"/>
    <x v="0"/>
    <x v="1"/>
    <n v="2545"/>
    <n v="1"/>
    <n v="12725"/>
    <n v="267225"/>
    <x v="1"/>
    <x v="24"/>
    <d v="1899-12-30T18:10:00"/>
    <s v="Credit card"/>
    <n v="2545"/>
    <n v="4761904762"/>
    <n v="12725"/>
    <n v="51"/>
    <n v="2545"/>
  </r>
  <r>
    <s v="151-33-7434"/>
    <s v="Cairo"/>
    <x v="2"/>
    <s v="Normal"/>
    <x v="0"/>
    <x v="4"/>
    <n v="6777"/>
    <n v="1"/>
    <n v="33885"/>
    <n v="711585"/>
    <x v="2"/>
    <x v="87"/>
    <d v="1899-12-30T20:43:00"/>
    <s v="Credit card"/>
    <n v="6777"/>
    <n v="4761904762"/>
    <n v="33885"/>
    <n v="65"/>
    <n v="6777"/>
  </r>
  <r>
    <s v="728-47-9078"/>
    <s v="Giza"/>
    <x v="1"/>
    <s v="Member"/>
    <x v="1"/>
    <x v="4"/>
    <n v="5959"/>
    <n v="4"/>
    <n v="11918"/>
    <n v="250278"/>
    <x v="0"/>
    <x v="64"/>
    <d v="1899-12-30T12:46:00"/>
    <s v="Cash"/>
    <n v="23836"/>
    <n v="4761904762"/>
    <n v="11918"/>
    <n v="98"/>
    <n v="23836"/>
  </r>
  <r>
    <s v="809-46-1866"/>
    <s v="Alex"/>
    <x v="0"/>
    <s v="Normal"/>
    <x v="1"/>
    <x v="0"/>
    <n v="5815"/>
    <n v="4"/>
    <n v="1163"/>
    <n v="24423"/>
    <x v="0"/>
    <x v="54"/>
    <d v="1899-12-30T17:44:00"/>
    <s v="Cash"/>
    <n v="2326"/>
    <n v="4761904762"/>
    <n v="1163"/>
    <n v="84"/>
    <n v="23260"/>
  </r>
  <r>
    <s v="139-32-4183"/>
    <s v="Alex"/>
    <x v="0"/>
    <s v="Member"/>
    <x v="0"/>
    <x v="3"/>
    <n v="9748"/>
    <n v="9"/>
    <n v="43866"/>
    <n v="921186"/>
    <x v="1"/>
    <x v="86"/>
    <d v="1899-12-30T14:19:00"/>
    <s v="Ewallet"/>
    <n v="87732"/>
    <n v="4761904762"/>
    <n v="43866"/>
    <n v="74"/>
    <n v="87732"/>
  </r>
  <r>
    <s v="148-41-7930"/>
    <s v="Giza"/>
    <x v="1"/>
    <s v="Normal"/>
    <x v="1"/>
    <x v="0"/>
    <n v="9996"/>
    <n v="7"/>
    <n v="34986"/>
    <n v="734706"/>
    <x v="0"/>
    <x v="54"/>
    <d v="1899-12-30T10:33:00"/>
    <s v="Cash"/>
    <n v="69972"/>
    <n v="4761904762"/>
    <n v="34986"/>
    <n v="61"/>
    <n v="69972"/>
  </r>
  <r>
    <s v="189-40-5216"/>
    <s v="Giza"/>
    <x v="1"/>
    <s v="Normal"/>
    <x v="1"/>
    <x v="1"/>
    <n v="9637"/>
    <n v="7"/>
    <n v="337295"/>
    <n v="7083195"/>
    <x v="0"/>
    <x v="51"/>
    <d v="1899-12-30T11:40:00"/>
    <s v="Cash"/>
    <n v="67459"/>
    <n v="4761904762"/>
    <n v="337295"/>
    <n v="6"/>
    <n v="67459"/>
  </r>
  <r>
    <s v="374-38-5555"/>
    <s v="Cairo"/>
    <x v="2"/>
    <s v="Normal"/>
    <x v="0"/>
    <x v="5"/>
    <n v="6371"/>
    <n v="5"/>
    <n v="159275"/>
    <n v="3344775"/>
    <x v="2"/>
    <x v="13"/>
    <d v="1899-12-30T19:30:00"/>
    <s v="Ewallet"/>
    <n v="31855"/>
    <n v="4761904762"/>
    <n v="159275"/>
    <n v="85"/>
    <n v="31855"/>
  </r>
  <r>
    <s v="764-44-8999"/>
    <s v="Cairo"/>
    <x v="2"/>
    <s v="Normal"/>
    <x v="0"/>
    <x v="0"/>
    <n v="1476"/>
    <n v="2"/>
    <n v="1476"/>
    <n v="30996"/>
    <x v="2"/>
    <x v="67"/>
    <d v="1899-12-30T14:42:00"/>
    <s v="Ewallet"/>
    <n v="2952"/>
    <n v="4761904762"/>
    <n v="1476"/>
    <n v="43"/>
    <n v="2952"/>
  </r>
  <r>
    <s v="552-44-5977"/>
    <s v="Cairo"/>
    <x v="2"/>
    <s v="Member"/>
    <x v="1"/>
    <x v="0"/>
    <n v="62"/>
    <n v="8"/>
    <n v="248"/>
    <n v="5208"/>
    <x v="0"/>
    <x v="75"/>
    <d v="1899-12-30T19:08:00"/>
    <s v="Credit card"/>
    <n v="496"/>
    <n v="4761904762"/>
    <n v="248"/>
    <n v="62"/>
    <n v="496"/>
  </r>
  <r>
    <s v="267-62-7380"/>
    <s v="Giza"/>
    <x v="1"/>
    <s v="Member"/>
    <x v="1"/>
    <x v="1"/>
    <n v="8234"/>
    <n v="10"/>
    <n v="4117"/>
    <n v="86457"/>
    <x v="1"/>
    <x v="14"/>
    <d v="1899-12-30T19:12:00"/>
    <s v="Ewallet"/>
    <n v="8234"/>
    <n v="4761904762"/>
    <n v="4117"/>
    <n v="43"/>
    <n v="82340"/>
  </r>
  <r>
    <s v="430-53-4718"/>
    <s v="Cairo"/>
    <x v="2"/>
    <s v="Member"/>
    <x v="1"/>
    <x v="0"/>
    <n v="7537"/>
    <n v="8"/>
    <n v="30148"/>
    <n v="633108"/>
    <x v="0"/>
    <x v="26"/>
    <d v="1899-12-30T15:46:00"/>
    <s v="Credit card"/>
    <n v="60296"/>
    <n v="4761904762"/>
    <n v="30148"/>
    <n v="84"/>
    <n v="60296"/>
  </r>
  <r>
    <s v="886-18-2897"/>
    <s v="Alex"/>
    <x v="0"/>
    <s v="Normal"/>
    <x v="0"/>
    <x v="4"/>
    <n v="5656"/>
    <n v="5"/>
    <n v="1414"/>
    <n v="29694"/>
    <x v="1"/>
    <x v="23"/>
    <d v="1899-12-30T19:06:00"/>
    <s v="Credit card"/>
    <n v="2828"/>
    <n v="4761904762"/>
    <n v="1414"/>
    <n v="45"/>
    <n v="28280"/>
  </r>
  <r>
    <s v="602-16-6955"/>
    <s v="Cairo"/>
    <x v="2"/>
    <s v="Normal"/>
    <x v="0"/>
    <x v="3"/>
    <n v="766"/>
    <n v="10"/>
    <n v="383"/>
    <n v="8043"/>
    <x v="0"/>
    <x v="46"/>
    <d v="1899-12-30T18:10:00"/>
    <s v="Ewallet"/>
    <n v="766"/>
    <n v="4761904762"/>
    <n v="383"/>
    <n v="6"/>
    <n v="7660"/>
  </r>
  <r>
    <s v="745-74-0715"/>
    <s v="Alex"/>
    <x v="0"/>
    <s v="Normal"/>
    <x v="1"/>
    <x v="1"/>
    <n v="5803"/>
    <n v="2"/>
    <n v="5803"/>
    <n v="121863"/>
    <x v="1"/>
    <x v="24"/>
    <d v="1899-12-30T20:46:00"/>
    <s v="Ewallet"/>
    <n v="11606"/>
    <n v="4761904762"/>
    <n v="5803"/>
    <n v="88"/>
    <n v="11606"/>
  </r>
  <r>
    <s v="690-01-6631"/>
    <s v="Cairo"/>
    <x v="2"/>
    <s v="Normal"/>
    <x v="1"/>
    <x v="5"/>
    <n v="1749"/>
    <n v="10"/>
    <n v="8745"/>
    <n v="183645"/>
    <x v="2"/>
    <x v="70"/>
    <d v="1899-12-30T18:35:00"/>
    <s v="Ewallet"/>
    <n v="1749"/>
    <n v="4761904762"/>
    <n v="8745"/>
    <n v="66"/>
    <n v="17490"/>
  </r>
  <r>
    <s v="652-49-6720"/>
    <s v="Giza"/>
    <x v="1"/>
    <s v="Member"/>
    <x v="0"/>
    <x v="1"/>
    <n v="6095"/>
    <n v="1"/>
    <n v="30475"/>
    <n v="639975"/>
    <x v="2"/>
    <x v="67"/>
    <d v="1899-12-30T11:40:00"/>
    <s v="Ewallet"/>
    <n v="6095"/>
    <n v="4761904762"/>
    <n v="30475"/>
    <n v="59"/>
    <n v="6095"/>
  </r>
  <r>
    <s v="233-67-5758"/>
    <s v="Giza"/>
    <x v="1"/>
    <s v="Normal"/>
    <x v="1"/>
    <x v="0"/>
    <n v="4035"/>
    <n v="1"/>
    <n v="20175"/>
    <n v="423675"/>
    <x v="0"/>
    <x v="71"/>
    <d v="1899-12-30T13:46:00"/>
    <s v="Ewallet"/>
    <n v="4035"/>
    <n v="4761904762"/>
    <n v="20175"/>
    <n v="62"/>
    <n v="4035"/>
  </r>
  <r>
    <s v="303-96-2227"/>
    <s v="Cairo"/>
    <x v="2"/>
    <s v="Normal"/>
    <x v="0"/>
    <x v="2"/>
    <n v="9738"/>
    <n v="10"/>
    <n v="4869"/>
    <n v="102249"/>
    <x v="1"/>
    <x v="22"/>
    <d v="1899-12-30T17:16:00"/>
    <s v="Ewallet"/>
    <n v="9738"/>
    <n v="4761904762"/>
    <n v="4869"/>
    <n v="44"/>
    <n v="97380"/>
  </r>
  <r>
    <s v="727-02-1313"/>
    <s v="Alex"/>
    <x v="0"/>
    <s v="Member"/>
    <x v="1"/>
    <x v="4"/>
    <n v="3184"/>
    <n v="1"/>
    <n v="1592"/>
    <n v="33432"/>
    <x v="2"/>
    <x v="57"/>
    <d v="1899-12-30T13:22:00"/>
    <s v="Cash"/>
    <n v="3184"/>
    <n v="4761904762"/>
    <n v="1592"/>
    <n v="77"/>
    <n v="3184"/>
  </r>
  <r>
    <s v="347-56-2442"/>
    <s v="Alex"/>
    <x v="0"/>
    <s v="Normal"/>
    <x v="1"/>
    <x v="2"/>
    <n v="6582"/>
    <n v="1"/>
    <n v="3291"/>
    <n v="69111"/>
    <x v="2"/>
    <x v="70"/>
    <d v="1899-12-30T15:33:00"/>
    <s v="Cash"/>
    <n v="6582"/>
    <n v="4761904762"/>
    <n v="3291"/>
    <n v="41"/>
    <n v="6582"/>
  </r>
  <r>
    <s v="849-09-3807"/>
    <s v="Alex"/>
    <x v="0"/>
    <s v="Member"/>
    <x v="0"/>
    <x v="5"/>
    <n v="8834"/>
    <n v="7"/>
    <n v="30919"/>
    <n v="649299"/>
    <x v="2"/>
    <x v="67"/>
    <d v="1899-12-30T13:28:00"/>
    <s v="Cash"/>
    <n v="61838"/>
    <n v="4761904762"/>
    <n v="30919"/>
    <n v="66"/>
    <n v="618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2879E-BCCF-48CB-8A2A-43E39C8C18E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21"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165"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64" showAll="0"/>
    <pivotField showAll="0"/>
    <pivotField numFmtId="165" showAll="0"/>
    <pivotField showAll="0"/>
    <pivotField numFmtId="165"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5"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Soma de Total " fld="18" baseField="0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078E2-CF28-435F-BEE2-86E8D576855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1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64" showAll="0"/>
    <pivotField showAll="0"/>
    <pivotField numFmtId="165" showAll="0"/>
    <pivotField showAll="0"/>
    <pivotField numFmtId="165"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" fld="18" baseField="0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D0AFC-9D06-4F4D-B4A1-8B46EA4982A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1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5" showAll="0"/>
    <pivotField showAll="0"/>
    <pivotField numFmtId="165"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64" showAll="0"/>
    <pivotField showAll="0"/>
    <pivotField numFmtId="165" showAll="0"/>
    <pivotField showAll="0"/>
    <pivotField numFmtId="165"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" fld="18" baseField="0" baseItem="0" numFmtId="165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A2CDC-7879-412F-A4E7-6005F37E7029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showAll="0">
      <items count="4">
        <item x="0"/>
        <item x="2"/>
        <item x="1"/>
        <item t="default"/>
      </items>
    </pivotField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64" showAll="0"/>
    <pivotField showAll="0"/>
    <pivotField numFmtId="165" showAll="0"/>
    <pivotField showAll="0"/>
    <pivotField numFmtId="165" showAll="0"/>
    <pivotField showAll="0"/>
    <pivotField dataField="1" numFmtId="165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0"/>
    <field x="19"/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Total " fld="18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A24AD9-3F30-428A-9A78-3197E4669464}" autoFormatId="16" applyNumberFormats="0" applyBorderFormats="0" applyFontFormats="0" applyPatternFormats="0" applyAlignmentFormats="0" applyWidthHeightFormats="0">
  <queryTableRefresh nextId="20" unboundColumnsRight="1">
    <queryTableFields count="19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9" dataBound="0" tableColumnId="19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E92B8-6F1E-4346-BCE3-1FEAF21388A6}" name="SuperMarket_Analysis" displayName="SuperMarket_Analysis" ref="A1:S1001" tableType="queryTable" totalsRowShown="0">
  <autoFilter ref="A1:S1001" xr:uid="{A9EE92B8-6F1E-4346-BCE3-1FEAF21388A6}"/>
  <tableColumns count="19">
    <tableColumn id="1" xr3:uid="{D816F734-FD42-44D9-BF6A-C41F5117F3BB}" uniqueName="1" name="Invoice ID" queryTableFieldId="1" dataDxfId="14"/>
    <tableColumn id="2" xr3:uid="{1D1B623B-0030-4A54-B195-1D8F32FFE637}" uniqueName="2" name="Branch" queryTableFieldId="2" dataDxfId="13"/>
    <tableColumn id="3" xr3:uid="{4630B8B4-7913-4AC0-B8E1-9FC0BE488A70}" uniqueName="3" name="City" queryTableFieldId="3" dataDxfId="12"/>
    <tableColumn id="4" xr3:uid="{82FF12E2-6A6F-4F86-8E5F-E4F1553780E1}" uniqueName="4" name="Customer type" queryTableFieldId="4" dataDxfId="11"/>
    <tableColumn id="5" xr3:uid="{E23BCFEF-654A-4E4D-BDA9-2A7ABD441ECC}" uniqueName="5" name="Gender" queryTableFieldId="5" dataDxfId="10"/>
    <tableColumn id="6" xr3:uid="{0C3DBC3A-A66F-4EFB-A83F-A822F84B7F89}" uniqueName="6" name="Product line" queryTableFieldId="6" dataDxfId="9"/>
    <tableColumn id="7" xr3:uid="{EA2C5098-58D0-4EF8-9FC3-F4F3C0E2CB81}" uniqueName="7" name="Unit price" queryTableFieldId="7" dataDxfId="8"/>
    <tableColumn id="8" xr3:uid="{9F097659-2C93-4547-9022-4EA39B4BFBFB}" uniqueName="8" name="Quantity" queryTableFieldId="8"/>
    <tableColumn id="9" xr3:uid="{2FEDA45B-A784-4C1A-A6E5-93E1FA3342A2}" uniqueName="9" name="Tax 5%" queryTableFieldId="9" dataDxfId="7"/>
    <tableColumn id="10" xr3:uid="{3B65958B-9680-43A0-9BA8-6533535873CC}" uniqueName="10" name="Sales" queryTableFieldId="10"/>
    <tableColumn id="19" xr3:uid="{D30F0557-A6B1-4AE5-A736-2B817DC8532C}" uniqueName="19" name="Mês" queryTableFieldId="19" dataDxfId="6">
      <calculatedColumnFormula>TEXT(L2, "mmmm")</calculatedColumnFormula>
    </tableColumn>
    <tableColumn id="11" xr3:uid="{59B9A073-96EA-40B3-B981-86DDB9B8C769}" uniqueName="11" name="Date" queryTableFieldId="11" dataDxfId="5"/>
    <tableColumn id="12" xr3:uid="{F6C13FD5-D91E-412F-B0D4-38F89605DF11}" uniqueName="12" name="Time" queryTableFieldId="12" dataDxfId="4"/>
    <tableColumn id="13" xr3:uid="{F69C1881-C0BB-4BBA-BFFB-87D00204848A}" uniqueName="13" name="Payment" queryTableFieldId="13" dataDxfId="3"/>
    <tableColumn id="14" xr3:uid="{D2911E9D-45A9-4A73-9085-472EA27EA2F2}" uniqueName="14" name="cogs" queryTableFieldId="14" dataDxfId="2"/>
    <tableColumn id="15" xr3:uid="{E386213A-1A66-46E6-A9E9-8378B9A01164}" uniqueName="15" name="gross margin percentage" queryTableFieldId="15"/>
    <tableColumn id="16" xr3:uid="{62CAD1B2-E6BB-43D6-BA1D-FDABAA31FC9D}" uniqueName="16" name="gross income" queryTableFieldId="16" dataDxfId="1"/>
    <tableColumn id="17" xr3:uid="{7CC4EE2E-3C03-4485-9FC5-EED5D816B1D2}" uniqueName="17" name="Rating" queryTableFieldId="17"/>
    <tableColumn id="18" xr3:uid="{6F7AF8E1-C857-42CB-9768-48391F6A98E6}" uniqueName="18" name="Total " queryTableFieldId="18" dataDxfId="0">
      <calculatedColumnFormula>G2*SuperMarket_Analysis[[#This Row],[Quantity]]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9DD7-F3A4-47E6-8951-A4E41B70D9E6}">
  <dimension ref="A1"/>
  <sheetViews>
    <sheetView showGridLines="0" showRowColHeaders="0" tabSelected="1" zoomScale="82" zoomScaleNormal="82" workbookViewId="0">
      <selection activeCell="V17" sqref="V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CCF9-D619-4CA9-89FB-A3E5158DDCA1}">
  <dimension ref="A3:B10"/>
  <sheetViews>
    <sheetView workbookViewId="0">
      <selection activeCell="A5" sqref="A3:B6"/>
    </sheetView>
  </sheetViews>
  <sheetFormatPr defaultRowHeight="15" x14ac:dyDescent="0.25"/>
  <cols>
    <col min="1" max="1" width="21" bestFit="1" customWidth="1"/>
    <col min="2" max="2" width="15.5703125" bestFit="1" customWidth="1"/>
  </cols>
  <sheetData>
    <row r="3" spans="1:2" x14ac:dyDescent="0.25">
      <c r="A3" s="5" t="s">
        <v>1038</v>
      </c>
      <c r="B3" t="s">
        <v>1040</v>
      </c>
    </row>
    <row r="4" spans="1:2" x14ac:dyDescent="0.25">
      <c r="A4" s="6" t="s">
        <v>28</v>
      </c>
      <c r="B4" s="3">
        <v>4849050</v>
      </c>
    </row>
    <row r="5" spans="1:2" x14ac:dyDescent="0.25">
      <c r="A5" s="6" t="s">
        <v>35</v>
      </c>
      <c r="B5" s="3">
        <v>4816029</v>
      </c>
    </row>
    <row r="6" spans="1:2" x14ac:dyDescent="0.25">
      <c r="A6" s="6" t="s">
        <v>45</v>
      </c>
      <c r="B6" s="3">
        <v>4798040</v>
      </c>
    </row>
    <row r="7" spans="1:2" x14ac:dyDescent="0.25">
      <c r="A7" s="6" t="s">
        <v>31</v>
      </c>
      <c r="B7" s="3">
        <v>4753038</v>
      </c>
    </row>
    <row r="8" spans="1:2" x14ac:dyDescent="0.25">
      <c r="A8" s="6" t="s">
        <v>43</v>
      </c>
      <c r="B8" s="3">
        <v>4539063</v>
      </c>
    </row>
    <row r="9" spans="1:2" x14ac:dyDescent="0.25">
      <c r="A9" s="6" t="s">
        <v>22</v>
      </c>
      <c r="B9" s="3">
        <v>4077672</v>
      </c>
    </row>
    <row r="10" spans="1:2" x14ac:dyDescent="0.25">
      <c r="A10" s="6" t="s">
        <v>1039</v>
      </c>
      <c r="B10" s="3">
        <v>27832892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24ED-8F4D-4E62-BBFB-C468A4C6D117}">
  <dimension ref="A3:B7"/>
  <sheetViews>
    <sheetView workbookViewId="0">
      <selection activeCell="A5" sqref="A3:B6"/>
    </sheetView>
  </sheetViews>
  <sheetFormatPr defaultRowHeight="15" x14ac:dyDescent="0.25"/>
  <cols>
    <col min="1" max="1" width="18.42578125" bestFit="1" customWidth="1"/>
    <col min="2" max="2" width="15.5703125" bestFit="1" customWidth="1"/>
  </cols>
  <sheetData>
    <row r="3" spans="1:2" x14ac:dyDescent="0.25">
      <c r="A3" s="5" t="s">
        <v>1038</v>
      </c>
      <c r="B3" t="s">
        <v>1040</v>
      </c>
    </row>
    <row r="4" spans="1:2" x14ac:dyDescent="0.25">
      <c r="A4" s="6" t="s">
        <v>42</v>
      </c>
      <c r="B4" s="3">
        <v>9249695</v>
      </c>
    </row>
    <row r="5" spans="1:2" x14ac:dyDescent="0.25">
      <c r="A5" s="6" t="s">
        <v>26</v>
      </c>
      <c r="B5" s="3">
        <v>9266573</v>
      </c>
    </row>
    <row r="6" spans="1:2" x14ac:dyDescent="0.25">
      <c r="A6" s="6" t="s">
        <v>19</v>
      </c>
      <c r="B6" s="3">
        <v>9316624</v>
      </c>
    </row>
    <row r="7" spans="1:2" x14ac:dyDescent="0.25">
      <c r="A7" s="6" t="s">
        <v>1039</v>
      </c>
      <c r="B7" s="3">
        <v>27832892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4B77-32DF-4A64-BE82-40C878F874BC}">
  <dimension ref="A3:B6"/>
  <sheetViews>
    <sheetView workbookViewId="0">
      <selection activeCell="A5" sqref="A3:B6"/>
    </sheetView>
  </sheetViews>
  <sheetFormatPr defaultRowHeight="15" x14ac:dyDescent="0.25"/>
  <cols>
    <col min="1" max="1" width="18.42578125" bestFit="1" customWidth="1"/>
    <col min="2" max="2" width="15.5703125" bestFit="1" customWidth="1"/>
  </cols>
  <sheetData>
    <row r="3" spans="1:2" x14ac:dyDescent="0.25">
      <c r="A3" s="5" t="s">
        <v>1038</v>
      </c>
      <c r="B3" t="s">
        <v>1040</v>
      </c>
    </row>
    <row r="4" spans="1:2" x14ac:dyDescent="0.25">
      <c r="A4" s="6" t="s">
        <v>21</v>
      </c>
      <c r="B4" s="3">
        <v>16812877</v>
      </c>
    </row>
    <row r="5" spans="1:2" x14ac:dyDescent="0.25">
      <c r="A5" s="6" t="s">
        <v>177</v>
      </c>
      <c r="B5" s="3">
        <v>11020015</v>
      </c>
    </row>
    <row r="6" spans="1:2" x14ac:dyDescent="0.25">
      <c r="A6" s="6" t="s">
        <v>1039</v>
      </c>
      <c r="B6" s="3">
        <v>27832892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632F-41AF-41B7-9E5D-C94DBD12D950}">
  <dimension ref="A3:B7"/>
  <sheetViews>
    <sheetView workbookViewId="0">
      <selection activeCell="A5" sqref="A3:B6"/>
    </sheetView>
  </sheetViews>
  <sheetFormatPr defaultRowHeight="15" x14ac:dyDescent="0.25"/>
  <cols>
    <col min="1" max="1" width="18.42578125" bestFit="1" customWidth="1"/>
    <col min="2" max="2" width="15.5703125" bestFit="1" customWidth="1"/>
  </cols>
  <sheetData>
    <row r="3" spans="1:2" x14ac:dyDescent="0.25">
      <c r="A3" s="5" t="s">
        <v>1038</v>
      </c>
      <c r="B3" t="s">
        <v>1040</v>
      </c>
    </row>
    <row r="4" spans="1:2" x14ac:dyDescent="0.25">
      <c r="A4" s="6" t="s">
        <v>1041</v>
      </c>
      <c r="B4" s="3">
        <v>10060315</v>
      </c>
    </row>
    <row r="5" spans="1:2" x14ac:dyDescent="0.25">
      <c r="A5" s="6" t="s">
        <v>1042</v>
      </c>
      <c r="B5" s="3">
        <v>8181211</v>
      </c>
    </row>
    <row r="6" spans="1:2" x14ac:dyDescent="0.25">
      <c r="A6" s="6" t="s">
        <v>1043</v>
      </c>
      <c r="B6" s="3">
        <v>9591366</v>
      </c>
    </row>
    <row r="7" spans="1:2" x14ac:dyDescent="0.25">
      <c r="A7" s="6" t="s">
        <v>1039</v>
      </c>
      <c r="B7" s="3">
        <v>27832892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8078-9D08-4AF9-B67D-FAB6019DC7E2}">
  <dimension ref="A1:S1001"/>
  <sheetViews>
    <sheetView topLeftCell="A2" workbookViewId="0">
      <selection activeCell="A5" sqref="A3:B6"/>
    </sheetView>
  </sheetViews>
  <sheetFormatPr defaultRowHeight="15" x14ac:dyDescent="0.25"/>
  <cols>
    <col min="1" max="1" width="12.28515625" bestFit="1" customWidth="1"/>
    <col min="2" max="2" width="9.42578125" bestFit="1" customWidth="1"/>
    <col min="3" max="3" width="10.140625" bestFit="1" customWidth="1"/>
    <col min="4" max="4" width="16.85546875" bestFit="1" customWidth="1"/>
    <col min="5" max="5" width="10" bestFit="1" customWidth="1"/>
    <col min="6" max="6" width="21" bestFit="1" customWidth="1"/>
    <col min="7" max="7" width="12" style="3" bestFit="1" customWidth="1"/>
    <col min="8" max="8" width="11" bestFit="1" customWidth="1"/>
    <col min="9" max="9" width="12.7109375" style="3" bestFit="1" customWidth="1"/>
    <col min="10" max="10" width="8.140625" bestFit="1" customWidth="1"/>
    <col min="11" max="11" width="8.140625" customWidth="1"/>
    <col min="12" max="12" width="10.42578125" customWidth="1"/>
    <col min="13" max="13" width="8.140625" bestFit="1" customWidth="1"/>
    <col min="14" max="14" width="11.140625" bestFit="1" customWidth="1"/>
    <col min="15" max="15" width="11.7109375" style="3" bestFit="1" customWidth="1"/>
    <col min="16" max="16" width="25.7109375" bestFit="1" customWidth="1"/>
    <col min="17" max="17" width="15.42578125" style="3" bestFit="1" customWidth="1"/>
    <col min="18" max="18" width="9" bestFit="1" customWidth="1"/>
    <col min="19" max="19" width="11.7109375" style="3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3" t="s">
        <v>8</v>
      </c>
      <c r="J1" t="s">
        <v>9</v>
      </c>
      <c r="K1" t="s">
        <v>1037</v>
      </c>
      <c r="L1" t="s">
        <v>10</v>
      </c>
      <c r="M1" t="s">
        <v>11</v>
      </c>
      <c r="N1" t="s">
        <v>12</v>
      </c>
      <c r="O1" s="3" t="s">
        <v>13</v>
      </c>
      <c r="P1" t="s">
        <v>14</v>
      </c>
      <c r="Q1" s="3" t="s">
        <v>15</v>
      </c>
      <c r="R1" t="s">
        <v>16</v>
      </c>
      <c r="S1" s="3" t="s">
        <v>1036</v>
      </c>
    </row>
    <row r="2" spans="1:19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3">
        <v>7469</v>
      </c>
      <c r="H2">
        <v>7</v>
      </c>
      <c r="I2" s="3">
        <v>261415</v>
      </c>
      <c r="J2">
        <v>5489715</v>
      </c>
      <c r="K2" t="str">
        <f>TEXT(L2, "mmmm")</f>
        <v>janeiro</v>
      </c>
      <c r="L2" s="4">
        <v>43470</v>
      </c>
      <c r="M2" s="2">
        <v>0.54722222222222228</v>
      </c>
      <c r="N2" s="1" t="s">
        <v>23</v>
      </c>
      <c r="O2" s="3">
        <v>52283</v>
      </c>
      <c r="P2">
        <v>4761904762</v>
      </c>
      <c r="Q2" s="3">
        <v>261415</v>
      </c>
      <c r="R2">
        <v>91</v>
      </c>
      <c r="S2" s="3">
        <f>G2*SuperMarket_Analysis[[#This Row],[Quantity]]</f>
        <v>52283</v>
      </c>
    </row>
    <row r="3" spans="1:19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3">
        <v>1528</v>
      </c>
      <c r="H3">
        <v>5</v>
      </c>
      <c r="I3" s="3">
        <v>382</v>
      </c>
      <c r="J3">
        <v>8022</v>
      </c>
      <c r="K3" t="str">
        <f t="shared" ref="K3:K65" si="0">TEXT(L3, "mmmm")</f>
        <v>março</v>
      </c>
      <c r="L3" s="4">
        <v>43532</v>
      </c>
      <c r="M3" s="2">
        <v>0.43680555555555556</v>
      </c>
      <c r="N3" s="1" t="s">
        <v>29</v>
      </c>
      <c r="O3" s="3">
        <v>764</v>
      </c>
      <c r="P3">
        <v>4761904762</v>
      </c>
      <c r="Q3" s="3">
        <v>382</v>
      </c>
      <c r="R3">
        <v>96</v>
      </c>
      <c r="S3" s="3">
        <f>G3*SuperMarket_Analysis[[#This Row],[Quantity]]</f>
        <v>7640</v>
      </c>
    </row>
    <row r="4" spans="1:19" x14ac:dyDescent="0.25">
      <c r="A4" s="1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3">
        <v>4633</v>
      </c>
      <c r="H4">
        <v>7</v>
      </c>
      <c r="I4" s="3">
        <v>162155</v>
      </c>
      <c r="J4">
        <v>3405255</v>
      </c>
      <c r="K4" t="str">
        <f t="shared" si="0"/>
        <v>março</v>
      </c>
      <c r="L4" s="4">
        <v>43527</v>
      </c>
      <c r="M4" s="2">
        <v>0.55763888888888891</v>
      </c>
      <c r="N4" s="1" t="s">
        <v>32</v>
      </c>
      <c r="O4" s="3">
        <v>32431</v>
      </c>
      <c r="P4">
        <v>4761904762</v>
      </c>
      <c r="Q4" s="3">
        <v>162155</v>
      </c>
      <c r="R4">
        <v>74</v>
      </c>
      <c r="S4" s="3">
        <f>G4*SuperMarket_Analysis[[#This Row],[Quantity]]</f>
        <v>32431</v>
      </c>
    </row>
    <row r="5" spans="1:19" x14ac:dyDescent="0.25">
      <c r="A5" s="1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3">
        <v>5822</v>
      </c>
      <c r="H5">
        <v>8</v>
      </c>
      <c r="I5" s="3">
        <v>23288</v>
      </c>
      <c r="J5">
        <v>489048</v>
      </c>
      <c r="K5" t="str">
        <f t="shared" si="0"/>
        <v>janeiro</v>
      </c>
      <c r="L5" s="4">
        <v>43492</v>
      </c>
      <c r="M5" s="2">
        <v>0.85624999999999996</v>
      </c>
      <c r="N5" s="1" t="s">
        <v>23</v>
      </c>
      <c r="O5" s="3">
        <v>46576</v>
      </c>
      <c r="P5">
        <v>4761904762</v>
      </c>
      <c r="Q5" s="3">
        <v>23288</v>
      </c>
      <c r="R5">
        <v>84</v>
      </c>
      <c r="S5" s="3">
        <f>G5*SuperMarket_Analysis[[#This Row],[Quantity]]</f>
        <v>46576</v>
      </c>
    </row>
    <row r="6" spans="1:19" x14ac:dyDescent="0.25">
      <c r="A6" s="1" t="s">
        <v>34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35</v>
      </c>
      <c r="G6" s="3">
        <v>8631</v>
      </c>
      <c r="H6">
        <v>7</v>
      </c>
      <c r="I6" s="3">
        <v>302085</v>
      </c>
      <c r="J6">
        <v>6343785</v>
      </c>
      <c r="K6" t="str">
        <f t="shared" si="0"/>
        <v>fevereiro</v>
      </c>
      <c r="L6" s="4">
        <v>43504</v>
      </c>
      <c r="M6" s="2">
        <v>0.44236111111111109</v>
      </c>
      <c r="N6" s="1" t="s">
        <v>23</v>
      </c>
      <c r="O6" s="3">
        <v>60417</v>
      </c>
      <c r="P6">
        <v>4761904762</v>
      </c>
      <c r="Q6" s="3">
        <v>302085</v>
      </c>
      <c r="R6">
        <v>53</v>
      </c>
      <c r="S6" s="3">
        <f>G6*SuperMarket_Analysis[[#This Row],[Quantity]]</f>
        <v>60417</v>
      </c>
    </row>
    <row r="7" spans="1:19" x14ac:dyDescent="0.25">
      <c r="A7" s="1" t="s">
        <v>36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3">
        <v>8539</v>
      </c>
      <c r="H7">
        <v>7</v>
      </c>
      <c r="I7" s="3">
        <v>298865</v>
      </c>
      <c r="J7">
        <v>6276165</v>
      </c>
      <c r="K7" t="str">
        <f t="shared" si="0"/>
        <v>março</v>
      </c>
      <c r="L7" s="4">
        <v>43549</v>
      </c>
      <c r="M7" s="2">
        <v>0.77083333333333337</v>
      </c>
      <c r="N7" s="1" t="s">
        <v>23</v>
      </c>
      <c r="O7" s="3">
        <v>59773</v>
      </c>
      <c r="P7">
        <v>4761904762</v>
      </c>
      <c r="Q7" s="3">
        <v>298865</v>
      </c>
      <c r="R7">
        <v>41</v>
      </c>
      <c r="S7" s="3">
        <f>G7*SuperMarket_Analysis[[#This Row],[Quantity]]</f>
        <v>59773</v>
      </c>
    </row>
    <row r="8" spans="1:19" x14ac:dyDescent="0.25">
      <c r="A8" s="1" t="s">
        <v>37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3">
        <v>6884</v>
      </c>
      <c r="H8">
        <v>6</v>
      </c>
      <c r="I8" s="3">
        <v>20652</v>
      </c>
      <c r="J8">
        <v>433692</v>
      </c>
      <c r="K8" t="str">
        <f t="shared" si="0"/>
        <v>fevereiro</v>
      </c>
      <c r="L8" s="4">
        <v>43521</v>
      </c>
      <c r="M8" s="2">
        <v>0.60833333333333328</v>
      </c>
      <c r="N8" s="1" t="s">
        <v>23</v>
      </c>
      <c r="O8" s="3">
        <v>41304</v>
      </c>
      <c r="P8">
        <v>4761904762</v>
      </c>
      <c r="Q8" s="3">
        <v>20652</v>
      </c>
      <c r="R8">
        <v>58</v>
      </c>
      <c r="S8" s="3">
        <f>G8*SuperMarket_Analysis[[#This Row],[Quantity]]</f>
        <v>41304</v>
      </c>
    </row>
    <row r="9" spans="1:19" x14ac:dyDescent="0.25">
      <c r="A9" s="1" t="s">
        <v>38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3">
        <v>7356</v>
      </c>
      <c r="H9">
        <v>10</v>
      </c>
      <c r="I9" s="3">
        <v>3678</v>
      </c>
      <c r="J9">
        <v>77238</v>
      </c>
      <c r="K9" t="str">
        <f t="shared" si="0"/>
        <v>fevereiro</v>
      </c>
      <c r="L9" s="4">
        <v>43520</v>
      </c>
      <c r="M9" s="2">
        <v>0.48472222222222222</v>
      </c>
      <c r="N9" s="1" t="s">
        <v>23</v>
      </c>
      <c r="O9" s="3">
        <v>7356</v>
      </c>
      <c r="P9">
        <v>4761904762</v>
      </c>
      <c r="Q9" s="3">
        <v>3678</v>
      </c>
      <c r="R9">
        <v>8</v>
      </c>
      <c r="S9" s="3">
        <f>G9*SuperMarket_Analysis[[#This Row],[Quantity]]</f>
        <v>73560</v>
      </c>
    </row>
    <row r="10" spans="1:19" x14ac:dyDescent="0.25">
      <c r="A10" s="1" t="s">
        <v>39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3">
        <v>3626</v>
      </c>
      <c r="H10">
        <v>2</v>
      </c>
      <c r="I10" s="3">
        <v>3626</v>
      </c>
      <c r="J10">
        <v>76146</v>
      </c>
      <c r="K10" t="str">
        <f t="shared" si="0"/>
        <v>janeiro</v>
      </c>
      <c r="L10" s="4">
        <v>43475</v>
      </c>
      <c r="M10" s="2">
        <v>0.71875</v>
      </c>
      <c r="N10" s="1" t="s">
        <v>32</v>
      </c>
      <c r="O10" s="3">
        <v>7252</v>
      </c>
      <c r="P10">
        <v>4761904762</v>
      </c>
      <c r="Q10" s="3">
        <v>3626</v>
      </c>
      <c r="R10">
        <v>72</v>
      </c>
      <c r="S10" s="3">
        <f>G10*SuperMarket_Analysis[[#This Row],[Quantity]]</f>
        <v>7252</v>
      </c>
    </row>
    <row r="11" spans="1:19" x14ac:dyDescent="0.25">
      <c r="A11" s="1" t="s">
        <v>40</v>
      </c>
      <c r="B11" s="1" t="s">
        <v>41</v>
      </c>
      <c r="C11" s="1" t="s">
        <v>42</v>
      </c>
      <c r="D11" s="1" t="s">
        <v>20</v>
      </c>
      <c r="E11" s="1" t="s">
        <v>21</v>
      </c>
      <c r="F11" s="1" t="s">
        <v>43</v>
      </c>
      <c r="G11" s="3">
        <v>5484</v>
      </c>
      <c r="H11">
        <v>3</v>
      </c>
      <c r="I11" s="3">
        <v>8226</v>
      </c>
      <c r="J11">
        <v>172746</v>
      </c>
      <c r="K11" t="str">
        <f t="shared" si="0"/>
        <v>fevereiro</v>
      </c>
      <c r="L11" s="4">
        <v>43516</v>
      </c>
      <c r="M11" s="2">
        <v>0.56041666666666667</v>
      </c>
      <c r="N11" s="1" t="s">
        <v>32</v>
      </c>
      <c r="O11" s="3">
        <v>16452</v>
      </c>
      <c r="P11">
        <v>4761904762</v>
      </c>
      <c r="Q11" s="3">
        <v>8226</v>
      </c>
      <c r="R11">
        <v>59</v>
      </c>
      <c r="S11" s="3">
        <f>G11*SuperMarket_Analysis[[#This Row],[Quantity]]</f>
        <v>16452</v>
      </c>
    </row>
    <row r="12" spans="1:19" x14ac:dyDescent="0.25">
      <c r="A12" s="1" t="s">
        <v>44</v>
      </c>
      <c r="B12" s="1" t="s">
        <v>41</v>
      </c>
      <c r="C12" s="1" t="s">
        <v>42</v>
      </c>
      <c r="D12" s="1" t="s">
        <v>20</v>
      </c>
      <c r="E12" s="1" t="s">
        <v>21</v>
      </c>
      <c r="F12" s="1" t="s">
        <v>45</v>
      </c>
      <c r="G12" s="3">
        <v>1448</v>
      </c>
      <c r="H12">
        <v>4</v>
      </c>
      <c r="I12" s="3">
        <v>2896</v>
      </c>
      <c r="J12">
        <v>60816</v>
      </c>
      <c r="K12" t="str">
        <f t="shared" si="0"/>
        <v>fevereiro</v>
      </c>
      <c r="L12" s="4">
        <v>43502</v>
      </c>
      <c r="M12" s="2">
        <v>0.75486111111111109</v>
      </c>
      <c r="N12" s="1" t="s">
        <v>23</v>
      </c>
      <c r="O12" s="3">
        <v>5792</v>
      </c>
      <c r="P12">
        <v>4761904762</v>
      </c>
      <c r="Q12" s="3">
        <v>2896</v>
      </c>
      <c r="R12">
        <v>45</v>
      </c>
      <c r="S12" s="3">
        <f>G12*SuperMarket_Analysis[[#This Row],[Quantity]]</f>
        <v>5792</v>
      </c>
    </row>
    <row r="13" spans="1:19" x14ac:dyDescent="0.25">
      <c r="A13" s="1" t="s">
        <v>46</v>
      </c>
      <c r="B13" s="1" t="s">
        <v>41</v>
      </c>
      <c r="C13" s="1" t="s">
        <v>42</v>
      </c>
      <c r="D13" s="1" t="s">
        <v>20</v>
      </c>
      <c r="E13" s="1" t="s">
        <v>21</v>
      </c>
      <c r="F13" s="1" t="s">
        <v>28</v>
      </c>
      <c r="G13" s="3">
        <v>2551</v>
      </c>
      <c r="H13">
        <v>4</v>
      </c>
      <c r="I13" s="3">
        <v>5102</v>
      </c>
      <c r="J13">
        <v>107142</v>
      </c>
      <c r="K13" t="str">
        <f t="shared" si="0"/>
        <v>março</v>
      </c>
      <c r="L13" s="4">
        <v>43533</v>
      </c>
      <c r="M13" s="2">
        <v>0.7104166666666667</v>
      </c>
      <c r="N13" s="1" t="s">
        <v>29</v>
      </c>
      <c r="O13" s="3">
        <v>10204</v>
      </c>
      <c r="P13">
        <v>4761904762</v>
      </c>
      <c r="Q13" s="3">
        <v>5102</v>
      </c>
      <c r="R13">
        <v>68</v>
      </c>
      <c r="S13" s="3">
        <f>G13*SuperMarket_Analysis[[#This Row],[Quantity]]</f>
        <v>10204</v>
      </c>
    </row>
    <row r="14" spans="1:19" x14ac:dyDescent="0.25">
      <c r="A14" s="1" t="s">
        <v>47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3">
        <v>4695</v>
      </c>
      <c r="H14">
        <v>5</v>
      </c>
      <c r="I14" s="3">
        <v>117375</v>
      </c>
      <c r="J14">
        <v>2464875</v>
      </c>
      <c r="K14" t="str">
        <f t="shared" si="0"/>
        <v>fevereiro</v>
      </c>
      <c r="L14" s="4">
        <v>43508</v>
      </c>
      <c r="M14" s="2">
        <v>0.43402777777777779</v>
      </c>
      <c r="N14" s="1" t="s">
        <v>23</v>
      </c>
      <c r="O14" s="3">
        <v>23475</v>
      </c>
      <c r="P14">
        <v>4761904762</v>
      </c>
      <c r="Q14" s="3">
        <v>117375</v>
      </c>
      <c r="R14">
        <v>71</v>
      </c>
      <c r="S14" s="3">
        <f>G14*SuperMarket_Analysis[[#This Row],[Quantity]]</f>
        <v>23475</v>
      </c>
    </row>
    <row r="15" spans="1:19" x14ac:dyDescent="0.25">
      <c r="A15" s="1" t="s">
        <v>48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43</v>
      </c>
      <c r="G15" s="3">
        <v>4319</v>
      </c>
      <c r="H15">
        <v>10</v>
      </c>
      <c r="I15" s="3">
        <v>21595</v>
      </c>
      <c r="J15">
        <v>453495</v>
      </c>
      <c r="K15" t="str">
        <f t="shared" si="0"/>
        <v>fevereiro</v>
      </c>
      <c r="L15" s="4">
        <v>43503</v>
      </c>
      <c r="M15" s="2">
        <v>0.7</v>
      </c>
      <c r="N15" s="1" t="s">
        <v>23</v>
      </c>
      <c r="O15" s="3">
        <v>4319</v>
      </c>
      <c r="P15">
        <v>4761904762</v>
      </c>
      <c r="Q15" s="3">
        <v>21595</v>
      </c>
      <c r="R15">
        <v>82</v>
      </c>
      <c r="S15" s="3">
        <f>G15*SuperMarket_Analysis[[#This Row],[Quantity]]</f>
        <v>43190</v>
      </c>
    </row>
    <row r="16" spans="1:19" x14ac:dyDescent="0.25">
      <c r="A16" s="1" t="s">
        <v>49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3">
        <v>7138</v>
      </c>
      <c r="H16">
        <v>10</v>
      </c>
      <c r="I16" s="3">
        <v>3569</v>
      </c>
      <c r="J16">
        <v>74949</v>
      </c>
      <c r="K16" t="str">
        <f t="shared" si="0"/>
        <v>março</v>
      </c>
      <c r="L16" s="4">
        <v>43553</v>
      </c>
      <c r="M16" s="2">
        <v>0.80625000000000002</v>
      </c>
      <c r="N16" s="1" t="s">
        <v>29</v>
      </c>
      <c r="O16" s="3">
        <v>7138</v>
      </c>
      <c r="P16">
        <v>4761904762</v>
      </c>
      <c r="Q16" s="3">
        <v>3569</v>
      </c>
      <c r="R16">
        <v>57</v>
      </c>
      <c r="S16" s="3">
        <f>G16*SuperMarket_Analysis[[#This Row],[Quantity]]</f>
        <v>71380</v>
      </c>
    </row>
    <row r="17" spans="1:19" x14ac:dyDescent="0.25">
      <c r="A17" s="1" t="s">
        <v>50</v>
      </c>
      <c r="B17" s="1" t="s">
        <v>41</v>
      </c>
      <c r="C17" s="1" t="s">
        <v>42</v>
      </c>
      <c r="D17" s="1" t="s">
        <v>20</v>
      </c>
      <c r="E17" s="1" t="s">
        <v>21</v>
      </c>
      <c r="F17" s="1" t="s">
        <v>35</v>
      </c>
      <c r="G17" s="3">
        <v>9372</v>
      </c>
      <c r="H17">
        <v>6</v>
      </c>
      <c r="I17" s="3">
        <v>28116</v>
      </c>
      <c r="J17">
        <v>590436</v>
      </c>
      <c r="K17" t="str">
        <f t="shared" si="0"/>
        <v>janeiro</v>
      </c>
      <c r="L17" s="4">
        <v>43480</v>
      </c>
      <c r="M17" s="2">
        <v>0.67986111111111114</v>
      </c>
      <c r="N17" s="1" t="s">
        <v>29</v>
      </c>
      <c r="O17" s="3">
        <v>56232</v>
      </c>
      <c r="P17">
        <v>4761904762</v>
      </c>
      <c r="Q17" s="3">
        <v>28116</v>
      </c>
      <c r="R17">
        <v>45</v>
      </c>
      <c r="S17" s="3">
        <f>G17*SuperMarket_Analysis[[#This Row],[Quantity]]</f>
        <v>56232</v>
      </c>
    </row>
    <row r="18" spans="1:19" x14ac:dyDescent="0.25">
      <c r="A18" s="1" t="s">
        <v>51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3">
        <v>6893</v>
      </c>
      <c r="H18">
        <v>7</v>
      </c>
      <c r="I18" s="3">
        <v>241255</v>
      </c>
      <c r="J18">
        <v>5066355</v>
      </c>
      <c r="K18" t="str">
        <f t="shared" si="0"/>
        <v>março</v>
      </c>
      <c r="L18" s="4">
        <v>43535</v>
      </c>
      <c r="M18" s="2">
        <v>0.46041666666666664</v>
      </c>
      <c r="N18" s="1" t="s">
        <v>32</v>
      </c>
      <c r="O18" s="3">
        <v>48251</v>
      </c>
      <c r="P18">
        <v>4761904762</v>
      </c>
      <c r="Q18" s="3">
        <v>241255</v>
      </c>
      <c r="R18">
        <v>46</v>
      </c>
      <c r="S18" s="3">
        <f>G18*SuperMarket_Analysis[[#This Row],[Quantity]]</f>
        <v>48251</v>
      </c>
    </row>
    <row r="19" spans="1:19" x14ac:dyDescent="0.25">
      <c r="A19" s="1" t="s">
        <v>52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35</v>
      </c>
      <c r="G19" s="3">
        <v>7261</v>
      </c>
      <c r="H19">
        <v>6</v>
      </c>
      <c r="I19" s="3">
        <v>21783</v>
      </c>
      <c r="J19">
        <v>457443</v>
      </c>
      <c r="K19" t="str">
        <f t="shared" si="0"/>
        <v>janeiro</v>
      </c>
      <c r="L19" s="4">
        <v>43466</v>
      </c>
      <c r="M19" s="2">
        <v>0.44374999999999998</v>
      </c>
      <c r="N19" s="1" t="s">
        <v>32</v>
      </c>
      <c r="O19" s="3">
        <v>43566</v>
      </c>
      <c r="P19">
        <v>4761904762</v>
      </c>
      <c r="Q19" s="3">
        <v>21783</v>
      </c>
      <c r="R19">
        <v>69</v>
      </c>
      <c r="S19" s="3">
        <f>G19*SuperMarket_Analysis[[#This Row],[Quantity]]</f>
        <v>43566</v>
      </c>
    </row>
    <row r="20" spans="1:19" x14ac:dyDescent="0.25">
      <c r="A20" s="1" t="s">
        <v>53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43</v>
      </c>
      <c r="G20" s="3">
        <v>5467</v>
      </c>
      <c r="H20">
        <v>3</v>
      </c>
      <c r="I20" s="3">
        <v>82005</v>
      </c>
      <c r="J20">
        <v>1722105</v>
      </c>
      <c r="K20" t="str">
        <f t="shared" si="0"/>
        <v>janeiro</v>
      </c>
      <c r="L20" s="4">
        <v>43486</v>
      </c>
      <c r="M20" s="2">
        <v>0.75</v>
      </c>
      <c r="N20" s="1" t="s">
        <v>32</v>
      </c>
      <c r="O20" s="3">
        <v>16401</v>
      </c>
      <c r="P20">
        <v>4761904762</v>
      </c>
      <c r="Q20" s="3">
        <v>82005</v>
      </c>
      <c r="R20">
        <v>86</v>
      </c>
      <c r="S20" s="3">
        <f>G20*SuperMarket_Analysis[[#This Row],[Quantity]]</f>
        <v>16401</v>
      </c>
    </row>
    <row r="21" spans="1:19" x14ac:dyDescent="0.25">
      <c r="A21" s="1" t="s">
        <v>54</v>
      </c>
      <c r="B21" s="1" t="s">
        <v>41</v>
      </c>
      <c r="C21" s="1" t="s">
        <v>42</v>
      </c>
      <c r="D21" s="1" t="s">
        <v>20</v>
      </c>
      <c r="E21" s="1" t="s">
        <v>21</v>
      </c>
      <c r="F21" s="1" t="s">
        <v>31</v>
      </c>
      <c r="G21" s="3">
        <v>403</v>
      </c>
      <c r="H21">
        <v>2</v>
      </c>
      <c r="I21" s="3">
        <v>403</v>
      </c>
      <c r="J21">
        <v>8463</v>
      </c>
      <c r="K21" t="str">
        <f t="shared" si="0"/>
        <v>março</v>
      </c>
      <c r="L21" s="4">
        <v>43535</v>
      </c>
      <c r="M21" s="2">
        <v>0.64583333333333337</v>
      </c>
      <c r="N21" s="1" t="s">
        <v>23</v>
      </c>
      <c r="O21" s="3">
        <v>806</v>
      </c>
      <c r="P21">
        <v>4761904762</v>
      </c>
      <c r="Q21" s="3">
        <v>403</v>
      </c>
      <c r="R21">
        <v>44</v>
      </c>
      <c r="S21" s="3">
        <f>G21*SuperMarket_Analysis[[#This Row],[Quantity]]</f>
        <v>806</v>
      </c>
    </row>
    <row r="22" spans="1:19" x14ac:dyDescent="0.25">
      <c r="A22" s="1" t="s">
        <v>55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3">
        <v>8604</v>
      </c>
      <c r="H22">
        <v>5</v>
      </c>
      <c r="I22" s="3">
        <v>2151</v>
      </c>
      <c r="J22">
        <v>45171</v>
      </c>
      <c r="K22" t="str">
        <f t="shared" si="0"/>
        <v>fevereiro</v>
      </c>
      <c r="L22" s="4">
        <v>43521</v>
      </c>
      <c r="M22" s="2">
        <v>0.47499999999999998</v>
      </c>
      <c r="N22" s="1" t="s">
        <v>23</v>
      </c>
      <c r="O22" s="3">
        <v>4302</v>
      </c>
      <c r="P22">
        <v>4761904762</v>
      </c>
      <c r="Q22" s="3">
        <v>2151</v>
      </c>
      <c r="R22">
        <v>48</v>
      </c>
      <c r="S22" s="3">
        <f>G22*SuperMarket_Analysis[[#This Row],[Quantity]]</f>
        <v>43020</v>
      </c>
    </row>
    <row r="23" spans="1:19" x14ac:dyDescent="0.25">
      <c r="A23" s="1" t="s">
        <v>56</v>
      </c>
      <c r="B23" s="1" t="s">
        <v>41</v>
      </c>
      <c r="C23" s="1" t="s">
        <v>42</v>
      </c>
      <c r="D23" s="1" t="s">
        <v>20</v>
      </c>
      <c r="E23" s="1" t="s">
        <v>21</v>
      </c>
      <c r="F23" s="1" t="s">
        <v>22</v>
      </c>
      <c r="G23" s="3">
        <v>8798</v>
      </c>
      <c r="H23">
        <v>3</v>
      </c>
      <c r="I23" s="3">
        <v>13197</v>
      </c>
      <c r="J23">
        <v>277137</v>
      </c>
      <c r="K23" t="str">
        <f t="shared" si="0"/>
        <v>março</v>
      </c>
      <c r="L23" s="4">
        <v>43529</v>
      </c>
      <c r="M23" s="2">
        <v>0.44444444444444442</v>
      </c>
      <c r="N23" s="1" t="s">
        <v>23</v>
      </c>
      <c r="O23" s="3">
        <v>26394</v>
      </c>
      <c r="P23">
        <v>4761904762</v>
      </c>
      <c r="Q23" s="3">
        <v>13197</v>
      </c>
      <c r="R23">
        <v>51</v>
      </c>
      <c r="S23" s="3">
        <f>G23*SuperMarket_Analysis[[#This Row],[Quantity]]</f>
        <v>26394</v>
      </c>
    </row>
    <row r="24" spans="1:19" x14ac:dyDescent="0.25">
      <c r="A24" s="1" t="s">
        <v>57</v>
      </c>
      <c r="B24" s="1" t="s">
        <v>41</v>
      </c>
      <c r="C24" s="1" t="s">
        <v>42</v>
      </c>
      <c r="D24" s="1" t="s">
        <v>20</v>
      </c>
      <c r="E24" s="1" t="s">
        <v>21</v>
      </c>
      <c r="F24" s="1" t="s">
        <v>31</v>
      </c>
      <c r="G24" s="3">
        <v>332</v>
      </c>
      <c r="H24">
        <v>2</v>
      </c>
      <c r="I24" s="3">
        <v>332</v>
      </c>
      <c r="J24">
        <v>6972</v>
      </c>
      <c r="K24" t="str">
        <f t="shared" si="0"/>
        <v>março</v>
      </c>
      <c r="L24" s="4">
        <v>43539</v>
      </c>
      <c r="M24" s="2">
        <v>0.51388888888888884</v>
      </c>
      <c r="N24" s="1" t="s">
        <v>32</v>
      </c>
      <c r="O24" s="3">
        <v>664</v>
      </c>
      <c r="P24">
        <v>4761904762</v>
      </c>
      <c r="Q24" s="3">
        <v>332</v>
      </c>
      <c r="R24">
        <v>44</v>
      </c>
      <c r="S24" s="3">
        <f>G24*SuperMarket_Analysis[[#This Row],[Quantity]]</f>
        <v>664</v>
      </c>
    </row>
    <row r="25" spans="1:19" x14ac:dyDescent="0.25">
      <c r="A25" s="1" t="s">
        <v>58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3">
        <v>3456</v>
      </c>
      <c r="H25">
        <v>5</v>
      </c>
      <c r="I25" s="3">
        <v>864</v>
      </c>
      <c r="J25">
        <v>18144</v>
      </c>
      <c r="K25" t="str">
        <f t="shared" si="0"/>
        <v>fevereiro</v>
      </c>
      <c r="L25" s="4">
        <v>43513</v>
      </c>
      <c r="M25" s="2">
        <v>0.46875</v>
      </c>
      <c r="N25" s="1" t="s">
        <v>23</v>
      </c>
      <c r="O25" s="3">
        <v>1728</v>
      </c>
      <c r="P25">
        <v>4761904762</v>
      </c>
      <c r="Q25" s="3">
        <v>864</v>
      </c>
      <c r="R25">
        <v>99</v>
      </c>
      <c r="S25" s="3">
        <f>G25*SuperMarket_Analysis[[#This Row],[Quantity]]</f>
        <v>17280</v>
      </c>
    </row>
    <row r="26" spans="1:19" x14ac:dyDescent="0.25">
      <c r="A26" s="1" t="s">
        <v>59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35</v>
      </c>
      <c r="G26" s="3">
        <v>8863</v>
      </c>
      <c r="H26">
        <v>3</v>
      </c>
      <c r="I26" s="3">
        <v>132945</v>
      </c>
      <c r="J26">
        <v>2791845</v>
      </c>
      <c r="K26" t="str">
        <f t="shared" si="0"/>
        <v>março</v>
      </c>
      <c r="L26" s="4">
        <v>43526</v>
      </c>
      <c r="M26" s="2">
        <v>0.73333333333333328</v>
      </c>
      <c r="N26" s="1" t="s">
        <v>23</v>
      </c>
      <c r="O26" s="3">
        <v>26589</v>
      </c>
      <c r="P26">
        <v>4761904762</v>
      </c>
      <c r="Q26" s="3">
        <v>132945</v>
      </c>
      <c r="R26">
        <v>6</v>
      </c>
      <c r="S26" s="3">
        <f>G26*SuperMarket_Analysis[[#This Row],[Quantity]]</f>
        <v>26589</v>
      </c>
    </row>
    <row r="27" spans="1:19" x14ac:dyDescent="0.25">
      <c r="A27" s="1" t="s">
        <v>60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3">
        <v>5259</v>
      </c>
      <c r="H27">
        <v>8</v>
      </c>
      <c r="I27" s="3">
        <v>21036</v>
      </c>
      <c r="J27">
        <v>441756</v>
      </c>
      <c r="K27" t="str">
        <f t="shared" si="0"/>
        <v>março</v>
      </c>
      <c r="L27" s="4">
        <v>43546</v>
      </c>
      <c r="M27" s="2">
        <v>0.80555555555555558</v>
      </c>
      <c r="N27" s="1" t="s">
        <v>32</v>
      </c>
      <c r="O27" s="3">
        <v>42072</v>
      </c>
      <c r="P27">
        <v>4761904762</v>
      </c>
      <c r="Q27" s="3">
        <v>21036</v>
      </c>
      <c r="R27">
        <v>85</v>
      </c>
      <c r="S27" s="3">
        <f>G27*SuperMarket_Analysis[[#This Row],[Quantity]]</f>
        <v>42072</v>
      </c>
    </row>
    <row r="28" spans="1:19" x14ac:dyDescent="0.25">
      <c r="A28" s="1" t="s">
        <v>61</v>
      </c>
      <c r="B28" s="1" t="s">
        <v>41</v>
      </c>
      <c r="C28" s="1" t="s">
        <v>42</v>
      </c>
      <c r="D28" s="1" t="s">
        <v>20</v>
      </c>
      <c r="E28" s="1" t="s">
        <v>21</v>
      </c>
      <c r="F28" s="1" t="s">
        <v>45</v>
      </c>
      <c r="G28" s="3">
        <v>3352</v>
      </c>
      <c r="H28">
        <v>1</v>
      </c>
      <c r="I28" s="3">
        <v>1676</v>
      </c>
      <c r="J28">
        <v>35196</v>
      </c>
      <c r="K28" t="str">
        <f t="shared" si="0"/>
        <v>fevereiro</v>
      </c>
      <c r="L28" s="4">
        <v>43504</v>
      </c>
      <c r="M28" s="2">
        <v>0.64652777777777781</v>
      </c>
      <c r="N28" s="1" t="s">
        <v>29</v>
      </c>
      <c r="O28" s="3">
        <v>3352</v>
      </c>
      <c r="P28">
        <v>4761904762</v>
      </c>
      <c r="Q28" s="3">
        <v>1676</v>
      </c>
      <c r="R28">
        <v>67</v>
      </c>
      <c r="S28" s="3">
        <f>G28*SuperMarket_Analysis[[#This Row],[Quantity]]</f>
        <v>3352</v>
      </c>
    </row>
    <row r="29" spans="1:19" x14ac:dyDescent="0.25">
      <c r="A29" s="1" t="s">
        <v>62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45</v>
      </c>
      <c r="G29" s="3">
        <v>8767</v>
      </c>
      <c r="H29">
        <v>2</v>
      </c>
      <c r="I29" s="3">
        <v>8767</v>
      </c>
      <c r="J29">
        <v>184107</v>
      </c>
      <c r="K29" t="str">
        <f t="shared" si="0"/>
        <v>março</v>
      </c>
      <c r="L29" s="4">
        <v>43534</v>
      </c>
      <c r="M29" s="2">
        <v>0.51180555555555551</v>
      </c>
      <c r="N29" s="1" t="s">
        <v>32</v>
      </c>
      <c r="O29" s="3">
        <v>17534</v>
      </c>
      <c r="P29">
        <v>4761904762</v>
      </c>
      <c r="Q29" s="3">
        <v>8767</v>
      </c>
      <c r="R29">
        <v>77</v>
      </c>
      <c r="S29" s="3">
        <f>G29*SuperMarket_Analysis[[#This Row],[Quantity]]</f>
        <v>17534</v>
      </c>
    </row>
    <row r="30" spans="1:19" x14ac:dyDescent="0.25">
      <c r="A30" s="1" t="s">
        <v>63</v>
      </c>
      <c r="B30" s="1" t="s">
        <v>41</v>
      </c>
      <c r="C30" s="1" t="s">
        <v>42</v>
      </c>
      <c r="D30" s="1" t="s">
        <v>20</v>
      </c>
      <c r="E30" s="1" t="s">
        <v>21</v>
      </c>
      <c r="F30" s="1" t="s">
        <v>43</v>
      </c>
      <c r="G30" s="3">
        <v>8836</v>
      </c>
      <c r="H30">
        <v>5</v>
      </c>
      <c r="I30" s="3">
        <v>2209</v>
      </c>
      <c r="J30">
        <v>46389</v>
      </c>
      <c r="K30" t="str">
        <f t="shared" si="0"/>
        <v>janeiro</v>
      </c>
      <c r="L30" s="4">
        <v>43490</v>
      </c>
      <c r="M30" s="2">
        <v>0.82499999999999996</v>
      </c>
      <c r="N30" s="1" t="s">
        <v>29</v>
      </c>
      <c r="O30" s="3">
        <v>4418</v>
      </c>
      <c r="P30">
        <v>4761904762</v>
      </c>
      <c r="Q30" s="3">
        <v>2209</v>
      </c>
      <c r="R30">
        <v>96</v>
      </c>
      <c r="S30" s="3">
        <f>G30*SuperMarket_Analysis[[#This Row],[Quantity]]</f>
        <v>44180</v>
      </c>
    </row>
    <row r="31" spans="1:19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3">
        <v>2489</v>
      </c>
      <c r="H31">
        <v>9</v>
      </c>
      <c r="I31" s="3">
        <v>112005</v>
      </c>
      <c r="J31">
        <v>2352105</v>
      </c>
      <c r="K31" t="str">
        <f t="shared" si="0"/>
        <v>março</v>
      </c>
      <c r="L31" s="4">
        <v>43539</v>
      </c>
      <c r="M31" s="2">
        <v>0.65</v>
      </c>
      <c r="N31" s="1" t="s">
        <v>29</v>
      </c>
      <c r="O31" s="3">
        <v>22401</v>
      </c>
      <c r="P31">
        <v>4761904762</v>
      </c>
      <c r="Q31" s="3">
        <v>112005</v>
      </c>
      <c r="R31">
        <v>74</v>
      </c>
      <c r="S31" s="3">
        <f>G31*SuperMarket_Analysis[[#This Row],[Quantity]]</f>
        <v>22401</v>
      </c>
    </row>
    <row r="32" spans="1:19" x14ac:dyDescent="0.25">
      <c r="A32" s="1" t="s">
        <v>65</v>
      </c>
      <c r="B32" s="1" t="s">
        <v>41</v>
      </c>
      <c r="C32" s="1" t="s">
        <v>42</v>
      </c>
      <c r="D32" s="1" t="s">
        <v>20</v>
      </c>
      <c r="E32" s="1" t="s">
        <v>21</v>
      </c>
      <c r="F32" s="1" t="s">
        <v>45</v>
      </c>
      <c r="G32" s="3">
        <v>9413</v>
      </c>
      <c r="H32">
        <v>5</v>
      </c>
      <c r="I32" s="3">
        <v>235325</v>
      </c>
      <c r="J32">
        <v>4941825</v>
      </c>
      <c r="K32" t="str">
        <f t="shared" si="0"/>
        <v>fevereiro</v>
      </c>
      <c r="L32" s="4">
        <v>43521</v>
      </c>
      <c r="M32" s="2">
        <v>0.81874999999999998</v>
      </c>
      <c r="N32" s="1" t="s">
        <v>32</v>
      </c>
      <c r="O32" s="3">
        <v>47065</v>
      </c>
      <c r="P32">
        <v>4761904762</v>
      </c>
      <c r="Q32" s="3">
        <v>235325</v>
      </c>
      <c r="R32">
        <v>48</v>
      </c>
      <c r="S32" s="3">
        <f>G32*SuperMarket_Analysis[[#This Row],[Quantity]]</f>
        <v>47065</v>
      </c>
    </row>
    <row r="33" spans="1:19" x14ac:dyDescent="0.25">
      <c r="A33" s="1" t="s">
        <v>66</v>
      </c>
      <c r="B33" s="1" t="s">
        <v>41</v>
      </c>
      <c r="C33" s="1" t="s">
        <v>42</v>
      </c>
      <c r="D33" s="1" t="s">
        <v>20</v>
      </c>
      <c r="E33" s="1" t="s">
        <v>21</v>
      </c>
      <c r="F33" s="1" t="s">
        <v>35</v>
      </c>
      <c r="G33" s="3">
        <v>7807</v>
      </c>
      <c r="H33">
        <v>9</v>
      </c>
      <c r="I33" s="3">
        <v>351315</v>
      </c>
      <c r="J33">
        <v>7377615</v>
      </c>
      <c r="K33" t="str">
        <f t="shared" si="0"/>
        <v>janeiro</v>
      </c>
      <c r="L33" s="4">
        <v>43493</v>
      </c>
      <c r="M33" s="2">
        <v>0.52986111111111112</v>
      </c>
      <c r="N33" s="1" t="s">
        <v>29</v>
      </c>
      <c r="O33" s="3">
        <v>70263</v>
      </c>
      <c r="P33">
        <v>4761904762</v>
      </c>
      <c r="Q33" s="3">
        <v>351315</v>
      </c>
      <c r="R33">
        <v>45</v>
      </c>
      <c r="S33" s="3">
        <f>G33*SuperMarket_Analysis[[#This Row],[Quantity]]</f>
        <v>70263</v>
      </c>
    </row>
    <row r="34" spans="1:19" x14ac:dyDescent="0.25">
      <c r="A34" s="1" t="s">
        <v>67</v>
      </c>
      <c r="B34" s="1" t="s">
        <v>41</v>
      </c>
      <c r="C34" s="1" t="s">
        <v>42</v>
      </c>
      <c r="D34" s="1" t="s">
        <v>20</v>
      </c>
      <c r="E34" s="1" t="s">
        <v>21</v>
      </c>
      <c r="F34" s="1" t="s">
        <v>35</v>
      </c>
      <c r="G34" s="3">
        <v>8378</v>
      </c>
      <c r="H34">
        <v>8</v>
      </c>
      <c r="I34" s="3">
        <v>33512</v>
      </c>
      <c r="J34">
        <v>703752</v>
      </c>
      <c r="K34" t="str">
        <f t="shared" si="0"/>
        <v>janeiro</v>
      </c>
      <c r="L34" s="4">
        <v>43475</v>
      </c>
      <c r="M34" s="2">
        <v>0.61736111111111114</v>
      </c>
      <c r="N34" s="1" t="s">
        <v>29</v>
      </c>
      <c r="O34" s="3">
        <v>67024</v>
      </c>
      <c r="P34">
        <v>4761904762</v>
      </c>
      <c r="Q34" s="3">
        <v>33512</v>
      </c>
      <c r="R34">
        <v>51</v>
      </c>
      <c r="S34" s="3">
        <f>G34*SuperMarket_Analysis[[#This Row],[Quantity]]</f>
        <v>67024</v>
      </c>
    </row>
    <row r="35" spans="1:19" x14ac:dyDescent="0.25">
      <c r="A35" s="1" t="s">
        <v>68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3">
        <v>9658</v>
      </c>
      <c r="H35">
        <v>2</v>
      </c>
      <c r="I35" s="3">
        <v>9658</v>
      </c>
      <c r="J35">
        <v>202818</v>
      </c>
      <c r="K35" t="str">
        <f t="shared" si="0"/>
        <v>março</v>
      </c>
      <c r="L35" s="4">
        <v>43539</v>
      </c>
      <c r="M35" s="2">
        <v>0.42499999999999999</v>
      </c>
      <c r="N35" s="1" t="s">
        <v>32</v>
      </c>
      <c r="O35" s="3">
        <v>19316</v>
      </c>
      <c r="P35">
        <v>4761904762</v>
      </c>
      <c r="Q35" s="3">
        <v>9658</v>
      </c>
      <c r="R35">
        <v>51</v>
      </c>
      <c r="S35" s="3">
        <f>G35*SuperMarket_Analysis[[#This Row],[Quantity]]</f>
        <v>19316</v>
      </c>
    </row>
    <row r="36" spans="1:19" x14ac:dyDescent="0.25">
      <c r="A36" s="1" t="s">
        <v>69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43</v>
      </c>
      <c r="G36" s="3">
        <v>9942</v>
      </c>
      <c r="H36">
        <v>4</v>
      </c>
      <c r="I36" s="3">
        <v>19884</v>
      </c>
      <c r="J36">
        <v>417564</v>
      </c>
      <c r="K36" t="str">
        <f t="shared" si="0"/>
        <v>fevereiro</v>
      </c>
      <c r="L36" s="4">
        <v>43502</v>
      </c>
      <c r="M36" s="2">
        <v>0.44583333333333336</v>
      </c>
      <c r="N36" s="1" t="s">
        <v>23</v>
      </c>
      <c r="O36" s="3">
        <v>39768</v>
      </c>
      <c r="P36">
        <v>4761904762</v>
      </c>
      <c r="Q36" s="3">
        <v>19884</v>
      </c>
      <c r="R36">
        <v>75</v>
      </c>
      <c r="S36" s="3">
        <f>G36*SuperMarket_Analysis[[#This Row],[Quantity]]</f>
        <v>39768</v>
      </c>
    </row>
    <row r="37" spans="1:19" x14ac:dyDescent="0.25">
      <c r="A37" s="1" t="s">
        <v>70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35</v>
      </c>
      <c r="G37" s="3">
        <v>6812</v>
      </c>
      <c r="H37">
        <v>1</v>
      </c>
      <c r="I37" s="3">
        <v>3406</v>
      </c>
      <c r="J37">
        <v>71526</v>
      </c>
      <c r="K37" t="str">
        <f t="shared" si="0"/>
        <v>janeiro</v>
      </c>
      <c r="L37" s="4">
        <v>43472</v>
      </c>
      <c r="M37" s="2">
        <v>0.51944444444444449</v>
      </c>
      <c r="N37" s="1" t="s">
        <v>23</v>
      </c>
      <c r="O37" s="3">
        <v>6812</v>
      </c>
      <c r="P37">
        <v>4761904762</v>
      </c>
      <c r="Q37" s="3">
        <v>3406</v>
      </c>
      <c r="R37">
        <v>68</v>
      </c>
      <c r="S37" s="3">
        <f>G37*SuperMarket_Analysis[[#This Row],[Quantity]]</f>
        <v>6812</v>
      </c>
    </row>
    <row r="38" spans="1:19" x14ac:dyDescent="0.25">
      <c r="A38" s="1" t="s">
        <v>71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35</v>
      </c>
      <c r="G38" s="3">
        <v>6262</v>
      </c>
      <c r="H38">
        <v>5</v>
      </c>
      <c r="I38" s="3">
        <v>15655</v>
      </c>
      <c r="J38">
        <v>328755</v>
      </c>
      <c r="K38" t="str">
        <f t="shared" si="0"/>
        <v>março</v>
      </c>
      <c r="L38" s="4">
        <v>43534</v>
      </c>
      <c r="M38" s="2">
        <v>0.80208333333333337</v>
      </c>
      <c r="N38" s="1" t="s">
        <v>23</v>
      </c>
      <c r="O38" s="3">
        <v>3131</v>
      </c>
      <c r="P38">
        <v>4761904762</v>
      </c>
      <c r="Q38" s="3">
        <v>15655</v>
      </c>
      <c r="R38">
        <v>7</v>
      </c>
      <c r="S38" s="3">
        <f>G38*SuperMarket_Analysis[[#This Row],[Quantity]]</f>
        <v>31310</v>
      </c>
    </row>
    <row r="39" spans="1:19" x14ac:dyDescent="0.25">
      <c r="A39" s="1" t="s">
        <v>72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3">
        <v>6088</v>
      </c>
      <c r="H39">
        <v>9</v>
      </c>
      <c r="I39" s="3">
        <v>27396</v>
      </c>
      <c r="J39">
        <v>575316</v>
      </c>
      <c r="K39" t="str">
        <f t="shared" si="0"/>
        <v>janeiro</v>
      </c>
      <c r="L39" s="4">
        <v>43480</v>
      </c>
      <c r="M39" s="2">
        <v>0.72013888888888888</v>
      </c>
      <c r="N39" s="1" t="s">
        <v>23</v>
      </c>
      <c r="O39" s="3">
        <v>54792</v>
      </c>
      <c r="P39">
        <v>4761904762</v>
      </c>
      <c r="Q39" s="3">
        <v>27396</v>
      </c>
      <c r="R39">
        <v>47</v>
      </c>
      <c r="S39" s="3">
        <f>G39*SuperMarket_Analysis[[#This Row],[Quantity]]</f>
        <v>54792</v>
      </c>
    </row>
    <row r="40" spans="1:19" x14ac:dyDescent="0.25">
      <c r="A40" s="1" t="s">
        <v>73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3">
        <v>5492</v>
      </c>
      <c r="H40">
        <v>8</v>
      </c>
      <c r="I40" s="3">
        <v>21968</v>
      </c>
      <c r="J40">
        <v>461328</v>
      </c>
      <c r="K40" t="str">
        <f t="shared" si="0"/>
        <v>março</v>
      </c>
      <c r="L40" s="4">
        <v>43547</v>
      </c>
      <c r="M40" s="2">
        <v>0.55833333333333335</v>
      </c>
      <c r="N40" s="1" t="s">
        <v>23</v>
      </c>
      <c r="O40" s="3">
        <v>43936</v>
      </c>
      <c r="P40">
        <v>4761904762</v>
      </c>
      <c r="Q40" s="3">
        <v>21968</v>
      </c>
      <c r="R40">
        <v>76</v>
      </c>
      <c r="S40" s="3">
        <f>G40*SuperMarket_Analysis[[#This Row],[Quantity]]</f>
        <v>43936</v>
      </c>
    </row>
    <row r="41" spans="1:19" x14ac:dyDescent="0.25">
      <c r="A41" s="1" t="s">
        <v>74</v>
      </c>
      <c r="B41" s="1" t="s">
        <v>41</v>
      </c>
      <c r="C41" s="1" t="s">
        <v>42</v>
      </c>
      <c r="D41" s="1" t="s">
        <v>20</v>
      </c>
      <c r="E41" s="1" t="s">
        <v>21</v>
      </c>
      <c r="F41" s="1" t="s">
        <v>31</v>
      </c>
      <c r="G41" s="3">
        <v>3012</v>
      </c>
      <c r="H41">
        <v>8</v>
      </c>
      <c r="I41" s="3">
        <v>12048</v>
      </c>
      <c r="J41">
        <v>253008</v>
      </c>
      <c r="K41" t="str">
        <f t="shared" si="0"/>
        <v>março</v>
      </c>
      <c r="L41" s="4">
        <v>43527</v>
      </c>
      <c r="M41" s="2">
        <v>0.54236111111111107</v>
      </c>
      <c r="N41" s="1" t="s">
        <v>29</v>
      </c>
      <c r="O41" s="3">
        <v>24096</v>
      </c>
      <c r="P41">
        <v>4761904762</v>
      </c>
      <c r="Q41" s="3">
        <v>12048</v>
      </c>
      <c r="R41">
        <v>77</v>
      </c>
      <c r="S41" s="3">
        <f>G41*SuperMarket_Analysis[[#This Row],[Quantity]]</f>
        <v>24096</v>
      </c>
    </row>
    <row r="42" spans="1:19" x14ac:dyDescent="0.25">
      <c r="A42" s="1" t="s">
        <v>75</v>
      </c>
      <c r="B42" s="1" t="s">
        <v>41</v>
      </c>
      <c r="C42" s="1" t="s">
        <v>42</v>
      </c>
      <c r="D42" s="1" t="s">
        <v>20</v>
      </c>
      <c r="E42" s="1" t="s">
        <v>21</v>
      </c>
      <c r="F42" s="1" t="s">
        <v>31</v>
      </c>
      <c r="G42" s="3">
        <v>8672</v>
      </c>
      <c r="H42">
        <v>1</v>
      </c>
      <c r="I42" s="3">
        <v>4336</v>
      </c>
      <c r="J42">
        <v>91056</v>
      </c>
      <c r="K42" t="str">
        <f t="shared" si="0"/>
        <v>janeiro</v>
      </c>
      <c r="L42" s="4">
        <v>43482</v>
      </c>
      <c r="M42" s="2">
        <v>0.78125</v>
      </c>
      <c r="N42" s="1" t="s">
        <v>23</v>
      </c>
      <c r="O42" s="3">
        <v>8672</v>
      </c>
      <c r="P42">
        <v>4761904762</v>
      </c>
      <c r="Q42" s="3">
        <v>4336</v>
      </c>
      <c r="R42">
        <v>79</v>
      </c>
      <c r="S42" s="3">
        <f>G42*SuperMarket_Analysis[[#This Row],[Quantity]]</f>
        <v>8672</v>
      </c>
    </row>
    <row r="43" spans="1:19" x14ac:dyDescent="0.25">
      <c r="A43" s="1" t="s">
        <v>76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3">
        <v>5611</v>
      </c>
      <c r="H43">
        <v>2</v>
      </c>
      <c r="I43" s="3">
        <v>5611</v>
      </c>
      <c r="J43">
        <v>117831</v>
      </c>
      <c r="K43" t="str">
        <f t="shared" si="0"/>
        <v>fevereiro</v>
      </c>
      <c r="L43" s="4">
        <v>43498</v>
      </c>
      <c r="M43" s="2">
        <v>0.42430555555555555</v>
      </c>
      <c r="N43" s="1" t="s">
        <v>29</v>
      </c>
      <c r="O43" s="3">
        <v>11222</v>
      </c>
      <c r="P43">
        <v>4761904762</v>
      </c>
      <c r="Q43" s="3">
        <v>5611</v>
      </c>
      <c r="R43">
        <v>63</v>
      </c>
      <c r="S43" s="3">
        <f>G43*SuperMarket_Analysis[[#This Row],[Quantity]]</f>
        <v>11222</v>
      </c>
    </row>
    <row r="44" spans="1:19" x14ac:dyDescent="0.25">
      <c r="A44" s="1" t="s">
        <v>77</v>
      </c>
      <c r="B44" s="1" t="s">
        <v>41</v>
      </c>
      <c r="C44" s="1" t="s">
        <v>42</v>
      </c>
      <c r="D44" s="1" t="s">
        <v>20</v>
      </c>
      <c r="E44" s="1" t="s">
        <v>21</v>
      </c>
      <c r="F44" s="1" t="s">
        <v>35</v>
      </c>
      <c r="G44" s="3">
        <v>6912</v>
      </c>
      <c r="H44">
        <v>6</v>
      </c>
      <c r="I44" s="3">
        <v>20736</v>
      </c>
      <c r="J44">
        <v>435456</v>
      </c>
      <c r="K44" t="str">
        <f t="shared" si="0"/>
        <v>fevereiro</v>
      </c>
      <c r="L44" s="4">
        <v>43504</v>
      </c>
      <c r="M44" s="2">
        <v>0.54374999999999996</v>
      </c>
      <c r="N44" s="1" t="s">
        <v>29</v>
      </c>
      <c r="O44" s="3">
        <v>41472</v>
      </c>
      <c r="P44">
        <v>4761904762</v>
      </c>
      <c r="Q44" s="3">
        <v>20736</v>
      </c>
      <c r="R44">
        <v>56</v>
      </c>
      <c r="S44" s="3">
        <f>G44*SuperMarket_Analysis[[#This Row],[Quantity]]</f>
        <v>41472</v>
      </c>
    </row>
    <row r="45" spans="1:19" x14ac:dyDescent="0.25">
      <c r="A45" s="1" t="s">
        <v>78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43</v>
      </c>
      <c r="G45" s="3">
        <v>987</v>
      </c>
      <c r="H45">
        <v>8</v>
      </c>
      <c r="I45" s="3">
        <v>3948</v>
      </c>
      <c r="J45">
        <v>82908</v>
      </c>
      <c r="K45" t="str">
        <f t="shared" si="0"/>
        <v>março</v>
      </c>
      <c r="L45" s="4">
        <v>43528</v>
      </c>
      <c r="M45" s="2">
        <v>0.86041666666666672</v>
      </c>
      <c r="N45" s="1" t="s">
        <v>29</v>
      </c>
      <c r="O45" s="3">
        <v>7896</v>
      </c>
      <c r="P45">
        <v>4761904762</v>
      </c>
      <c r="Q45" s="3">
        <v>3948</v>
      </c>
      <c r="R45">
        <v>76</v>
      </c>
      <c r="S45" s="3">
        <f>G45*SuperMarket_Analysis[[#This Row],[Quantity]]</f>
        <v>7896</v>
      </c>
    </row>
    <row r="46" spans="1:19" x14ac:dyDescent="0.25">
      <c r="A46" s="1" t="s">
        <v>79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3">
        <v>1537</v>
      </c>
      <c r="H46">
        <v>2</v>
      </c>
      <c r="I46" s="3">
        <v>1537</v>
      </c>
      <c r="J46">
        <v>32277</v>
      </c>
      <c r="K46" t="str">
        <f t="shared" si="0"/>
        <v>março</v>
      </c>
      <c r="L46" s="4">
        <v>43540</v>
      </c>
      <c r="M46" s="2">
        <v>0.82430555555555551</v>
      </c>
      <c r="N46" s="1" t="s">
        <v>29</v>
      </c>
      <c r="O46" s="3">
        <v>3074</v>
      </c>
      <c r="P46">
        <v>4761904762</v>
      </c>
      <c r="Q46" s="3">
        <v>1537</v>
      </c>
      <c r="R46">
        <v>72</v>
      </c>
      <c r="S46" s="3">
        <f>G46*SuperMarket_Analysis[[#This Row],[Quantity]]</f>
        <v>3074</v>
      </c>
    </row>
    <row r="47" spans="1:19" x14ac:dyDescent="0.25">
      <c r="A47" s="1" t="s">
        <v>80</v>
      </c>
      <c r="B47" s="1" t="s">
        <v>41</v>
      </c>
      <c r="C47" s="1" t="s">
        <v>42</v>
      </c>
      <c r="D47" s="1" t="s">
        <v>20</v>
      </c>
      <c r="E47" s="1" t="s">
        <v>21</v>
      </c>
      <c r="F47" s="1" t="s">
        <v>28</v>
      </c>
      <c r="G47" s="3">
        <v>9396</v>
      </c>
      <c r="H47">
        <v>4</v>
      </c>
      <c r="I47" s="3">
        <v>18792</v>
      </c>
      <c r="J47">
        <v>394632</v>
      </c>
      <c r="K47" t="str">
        <f t="shared" si="0"/>
        <v>março</v>
      </c>
      <c r="L47" s="4">
        <v>43533</v>
      </c>
      <c r="M47" s="2">
        <v>0.75</v>
      </c>
      <c r="N47" s="1" t="s">
        <v>29</v>
      </c>
      <c r="O47" s="3">
        <v>37584</v>
      </c>
      <c r="P47">
        <v>4761904762</v>
      </c>
      <c r="Q47" s="3">
        <v>18792</v>
      </c>
      <c r="R47">
        <v>95</v>
      </c>
      <c r="S47" s="3">
        <f>G47*SuperMarket_Analysis[[#This Row],[Quantity]]</f>
        <v>37584</v>
      </c>
    </row>
    <row r="48" spans="1:19" x14ac:dyDescent="0.25">
      <c r="A48" s="1" t="s">
        <v>81</v>
      </c>
      <c r="B48" s="1" t="s">
        <v>41</v>
      </c>
      <c r="C48" s="1" t="s">
        <v>42</v>
      </c>
      <c r="D48" s="1" t="s">
        <v>20</v>
      </c>
      <c r="E48" s="1" t="s">
        <v>21</v>
      </c>
      <c r="F48" s="1" t="s">
        <v>22</v>
      </c>
      <c r="G48" s="3">
        <v>5669</v>
      </c>
      <c r="H48">
        <v>9</v>
      </c>
      <c r="I48" s="3">
        <v>255105</v>
      </c>
      <c r="J48">
        <v>5357205</v>
      </c>
      <c r="K48" t="str">
        <f t="shared" si="0"/>
        <v>fevereiro</v>
      </c>
      <c r="L48" s="4">
        <v>43523</v>
      </c>
      <c r="M48" s="2">
        <v>0.72499999999999998</v>
      </c>
      <c r="N48" s="1" t="s">
        <v>32</v>
      </c>
      <c r="O48" s="3">
        <v>51021</v>
      </c>
      <c r="P48">
        <v>4761904762</v>
      </c>
      <c r="Q48" s="3">
        <v>255105</v>
      </c>
      <c r="R48">
        <v>84</v>
      </c>
      <c r="S48" s="3">
        <f>G48*SuperMarket_Analysis[[#This Row],[Quantity]]</f>
        <v>51021</v>
      </c>
    </row>
    <row r="49" spans="1:19" x14ac:dyDescent="0.25">
      <c r="A49" s="1" t="s">
        <v>82</v>
      </c>
      <c r="B49" s="1" t="s">
        <v>41</v>
      </c>
      <c r="C49" s="1" t="s">
        <v>42</v>
      </c>
      <c r="D49" s="1" t="s">
        <v>20</v>
      </c>
      <c r="E49" s="1" t="s">
        <v>21</v>
      </c>
      <c r="F49" s="1" t="s">
        <v>43</v>
      </c>
      <c r="G49" s="3">
        <v>2001</v>
      </c>
      <c r="H49">
        <v>9</v>
      </c>
      <c r="I49" s="3">
        <v>90045</v>
      </c>
      <c r="J49">
        <v>1890945</v>
      </c>
      <c r="K49" t="str">
        <f t="shared" si="0"/>
        <v>fevereiro</v>
      </c>
      <c r="L49" s="4">
        <v>43502</v>
      </c>
      <c r="M49" s="2">
        <v>0.65763888888888888</v>
      </c>
      <c r="N49" s="1" t="s">
        <v>23</v>
      </c>
      <c r="O49" s="3">
        <v>18009</v>
      </c>
      <c r="P49">
        <v>4761904762</v>
      </c>
      <c r="Q49" s="3">
        <v>90045</v>
      </c>
      <c r="R49">
        <v>41</v>
      </c>
      <c r="S49" s="3">
        <f>G49*SuperMarket_Analysis[[#This Row],[Quantity]]</f>
        <v>18009</v>
      </c>
    </row>
    <row r="50" spans="1:19" x14ac:dyDescent="0.25">
      <c r="A50" s="1" t="s">
        <v>83</v>
      </c>
      <c r="B50" s="1" t="s">
        <v>41</v>
      </c>
      <c r="C50" s="1" t="s">
        <v>42</v>
      </c>
      <c r="D50" s="1" t="s">
        <v>20</v>
      </c>
      <c r="E50" s="1" t="s">
        <v>21</v>
      </c>
      <c r="F50" s="1" t="s">
        <v>28</v>
      </c>
      <c r="G50" s="3">
        <v>1893</v>
      </c>
      <c r="H50">
        <v>6</v>
      </c>
      <c r="I50" s="3">
        <v>5679</v>
      </c>
      <c r="J50">
        <v>119259</v>
      </c>
      <c r="K50" t="str">
        <f t="shared" si="0"/>
        <v>fevereiro</v>
      </c>
      <c r="L50" s="4">
        <v>43506</v>
      </c>
      <c r="M50" s="2">
        <v>0.53125</v>
      </c>
      <c r="N50" s="1" t="s">
        <v>32</v>
      </c>
      <c r="O50" s="3">
        <v>11358</v>
      </c>
      <c r="P50">
        <v>4761904762</v>
      </c>
      <c r="Q50" s="3">
        <v>5679</v>
      </c>
      <c r="R50">
        <v>81</v>
      </c>
      <c r="S50" s="3">
        <f>G50*SuperMarket_Analysis[[#This Row],[Quantity]]</f>
        <v>11358</v>
      </c>
    </row>
    <row r="51" spans="1:19" x14ac:dyDescent="0.25">
      <c r="A51" s="1" t="s">
        <v>84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45</v>
      </c>
      <c r="G51" s="3">
        <v>8263</v>
      </c>
      <c r="H51">
        <v>10</v>
      </c>
      <c r="I51" s="3">
        <v>41315</v>
      </c>
      <c r="J51">
        <v>867615</v>
      </c>
      <c r="K51" t="str">
        <f t="shared" si="0"/>
        <v>março</v>
      </c>
      <c r="L51" s="4">
        <v>43543</v>
      </c>
      <c r="M51" s="2">
        <v>0.71388888888888891</v>
      </c>
      <c r="N51" s="1" t="s">
        <v>23</v>
      </c>
      <c r="O51" s="3">
        <v>8263</v>
      </c>
      <c r="P51">
        <v>4761904762</v>
      </c>
      <c r="Q51" s="3">
        <v>41315</v>
      </c>
      <c r="R51">
        <v>79</v>
      </c>
      <c r="S51" s="3">
        <f>G51*SuperMarket_Analysis[[#This Row],[Quantity]]</f>
        <v>82630</v>
      </c>
    </row>
    <row r="52" spans="1:19" x14ac:dyDescent="0.25">
      <c r="A52" s="1" t="s">
        <v>85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43</v>
      </c>
      <c r="G52" s="3">
        <v>914</v>
      </c>
      <c r="H52">
        <v>7</v>
      </c>
      <c r="I52" s="3">
        <v>3199</v>
      </c>
      <c r="J52">
        <v>67179</v>
      </c>
      <c r="K52" t="str">
        <f t="shared" si="0"/>
        <v>fevereiro</v>
      </c>
      <c r="L52" s="4">
        <v>43499</v>
      </c>
      <c r="M52" s="2">
        <v>0.42986111111111114</v>
      </c>
      <c r="N52" s="1" t="s">
        <v>29</v>
      </c>
      <c r="O52" s="3">
        <v>6398</v>
      </c>
      <c r="P52">
        <v>4761904762</v>
      </c>
      <c r="Q52" s="3">
        <v>3199</v>
      </c>
      <c r="R52">
        <v>95</v>
      </c>
      <c r="S52" s="3">
        <f>G52*SuperMarket_Analysis[[#This Row],[Quantity]]</f>
        <v>6398</v>
      </c>
    </row>
    <row r="53" spans="1:19" x14ac:dyDescent="0.25">
      <c r="A53" s="1" t="s">
        <v>86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43</v>
      </c>
      <c r="G53" s="3">
        <v>4459</v>
      </c>
      <c r="H53">
        <v>5</v>
      </c>
      <c r="I53" s="3">
        <v>111475</v>
      </c>
      <c r="J53">
        <v>2340975</v>
      </c>
      <c r="K53" t="str">
        <f t="shared" si="0"/>
        <v>fevereiro</v>
      </c>
      <c r="L53" s="4">
        <v>43506</v>
      </c>
      <c r="M53" s="2">
        <v>0.63194444444444442</v>
      </c>
      <c r="N53" s="1" t="s">
        <v>29</v>
      </c>
      <c r="O53" s="3">
        <v>22295</v>
      </c>
      <c r="P53">
        <v>4761904762</v>
      </c>
      <c r="Q53" s="3">
        <v>111475</v>
      </c>
      <c r="R53">
        <v>85</v>
      </c>
      <c r="S53" s="3">
        <f>G53*SuperMarket_Analysis[[#This Row],[Quantity]]</f>
        <v>22295</v>
      </c>
    </row>
    <row r="54" spans="1:19" x14ac:dyDescent="0.25">
      <c r="A54" s="1" t="s">
        <v>87</v>
      </c>
      <c r="B54" s="1" t="s">
        <v>41</v>
      </c>
      <c r="C54" s="1" t="s">
        <v>42</v>
      </c>
      <c r="D54" s="1" t="s">
        <v>20</v>
      </c>
      <c r="E54" s="1" t="s">
        <v>21</v>
      </c>
      <c r="F54" s="1" t="s">
        <v>45</v>
      </c>
      <c r="G54" s="3">
        <v>1787</v>
      </c>
      <c r="H54">
        <v>4</v>
      </c>
      <c r="I54" s="3">
        <v>3574</v>
      </c>
      <c r="J54">
        <v>75054</v>
      </c>
      <c r="K54" t="str">
        <f t="shared" si="0"/>
        <v>março</v>
      </c>
      <c r="L54" s="4">
        <v>43546</v>
      </c>
      <c r="M54" s="2">
        <v>0.61250000000000004</v>
      </c>
      <c r="N54" s="1" t="s">
        <v>23</v>
      </c>
      <c r="O54" s="3">
        <v>7148</v>
      </c>
      <c r="P54">
        <v>4761904762</v>
      </c>
      <c r="Q54" s="3">
        <v>3574</v>
      </c>
      <c r="R54">
        <v>65</v>
      </c>
      <c r="S54" s="3">
        <f>G54*SuperMarket_Analysis[[#This Row],[Quantity]]</f>
        <v>7148</v>
      </c>
    </row>
    <row r="55" spans="1:19" x14ac:dyDescent="0.25">
      <c r="A55" s="1" t="s">
        <v>88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45</v>
      </c>
      <c r="G55" s="3">
        <v>1543</v>
      </c>
      <c r="H55">
        <v>1</v>
      </c>
      <c r="I55" s="3">
        <v>7715</v>
      </c>
      <c r="J55">
        <v>162015</v>
      </c>
      <c r="K55" t="str">
        <f t="shared" si="0"/>
        <v>janeiro</v>
      </c>
      <c r="L55" s="4">
        <v>43490</v>
      </c>
      <c r="M55" s="2">
        <v>0.65694444444444444</v>
      </c>
      <c r="N55" s="1" t="s">
        <v>32</v>
      </c>
      <c r="O55" s="3">
        <v>1543</v>
      </c>
      <c r="P55">
        <v>4761904762</v>
      </c>
      <c r="Q55" s="3">
        <v>7715</v>
      </c>
      <c r="R55">
        <v>61</v>
      </c>
      <c r="S55" s="3">
        <f>G55*SuperMarket_Analysis[[#This Row],[Quantity]]</f>
        <v>1543</v>
      </c>
    </row>
    <row r="56" spans="1:19" x14ac:dyDescent="0.25">
      <c r="A56" s="1" t="s">
        <v>89</v>
      </c>
      <c r="B56" s="1" t="s">
        <v>41</v>
      </c>
      <c r="C56" s="1" t="s">
        <v>42</v>
      </c>
      <c r="D56" s="1" t="s">
        <v>20</v>
      </c>
      <c r="E56" s="1" t="s">
        <v>21</v>
      </c>
      <c r="F56" s="1" t="s">
        <v>31</v>
      </c>
      <c r="G56" s="3">
        <v>1616</v>
      </c>
      <c r="H56">
        <v>2</v>
      </c>
      <c r="I56" s="3">
        <v>1616</v>
      </c>
      <c r="J56">
        <v>33936</v>
      </c>
      <c r="K56" t="str">
        <f t="shared" si="0"/>
        <v>março</v>
      </c>
      <c r="L56" s="4">
        <v>43531</v>
      </c>
      <c r="M56" s="2">
        <v>0.49236111111111114</v>
      </c>
      <c r="N56" s="1" t="s">
        <v>23</v>
      </c>
      <c r="O56" s="3">
        <v>3232</v>
      </c>
      <c r="P56">
        <v>4761904762</v>
      </c>
      <c r="Q56" s="3">
        <v>1616</v>
      </c>
      <c r="R56">
        <v>65</v>
      </c>
      <c r="S56" s="3">
        <f>G56*SuperMarket_Analysis[[#This Row],[Quantity]]</f>
        <v>3232</v>
      </c>
    </row>
    <row r="57" spans="1:19" x14ac:dyDescent="0.25">
      <c r="A57" s="1" t="s">
        <v>90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3">
        <v>8598</v>
      </c>
      <c r="H57">
        <v>8</v>
      </c>
      <c r="I57" s="3">
        <v>34392</v>
      </c>
      <c r="J57">
        <v>722232</v>
      </c>
      <c r="K57" t="str">
        <f t="shared" si="0"/>
        <v>fevereiro</v>
      </c>
      <c r="L57" s="4">
        <v>43524</v>
      </c>
      <c r="M57" s="2">
        <v>0.79236111111111107</v>
      </c>
      <c r="N57" s="1" t="s">
        <v>29</v>
      </c>
      <c r="O57" s="3">
        <v>68784</v>
      </c>
      <c r="P57">
        <v>4761904762</v>
      </c>
      <c r="Q57" s="3">
        <v>34392</v>
      </c>
      <c r="R57">
        <v>82</v>
      </c>
      <c r="S57" s="3">
        <f>G57*SuperMarket_Analysis[[#This Row],[Quantity]]</f>
        <v>68784</v>
      </c>
    </row>
    <row r="58" spans="1:19" x14ac:dyDescent="0.25">
      <c r="A58" s="1" t="s">
        <v>91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3">
        <v>4434</v>
      </c>
      <c r="H58">
        <v>2</v>
      </c>
      <c r="I58" s="3">
        <v>4434</v>
      </c>
      <c r="J58">
        <v>93114</v>
      </c>
      <c r="K58" t="str">
        <f t="shared" si="0"/>
        <v>março</v>
      </c>
      <c r="L58" s="4">
        <v>43551</v>
      </c>
      <c r="M58" s="2">
        <v>0.47638888888888886</v>
      </c>
      <c r="N58" s="1" t="s">
        <v>29</v>
      </c>
      <c r="O58" s="3">
        <v>8868</v>
      </c>
      <c r="P58">
        <v>4761904762</v>
      </c>
      <c r="Q58" s="3">
        <v>4434</v>
      </c>
      <c r="R58">
        <v>58</v>
      </c>
      <c r="S58" s="3">
        <f>G58*SuperMarket_Analysis[[#This Row],[Quantity]]</f>
        <v>8868</v>
      </c>
    </row>
    <row r="59" spans="1:19" x14ac:dyDescent="0.25">
      <c r="A59" s="1" t="s">
        <v>92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3">
        <v>896</v>
      </c>
      <c r="H59">
        <v>8</v>
      </c>
      <c r="I59" s="3">
        <v>3584</v>
      </c>
      <c r="J59">
        <v>75264</v>
      </c>
      <c r="K59" t="str">
        <f t="shared" si="0"/>
        <v>fevereiro</v>
      </c>
      <c r="L59" s="4">
        <v>43503</v>
      </c>
      <c r="M59" s="2">
        <v>0.4777777777777778</v>
      </c>
      <c r="N59" s="1" t="s">
        <v>23</v>
      </c>
      <c r="O59" s="3">
        <v>7168</v>
      </c>
      <c r="P59">
        <v>4761904762</v>
      </c>
      <c r="Q59" s="3">
        <v>3584</v>
      </c>
      <c r="R59">
        <v>66</v>
      </c>
      <c r="S59" s="3">
        <f>G59*SuperMarket_Analysis[[#This Row],[Quantity]]</f>
        <v>7168</v>
      </c>
    </row>
    <row r="60" spans="1:19" x14ac:dyDescent="0.25">
      <c r="A60" s="1" t="s">
        <v>93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3">
        <v>7235</v>
      </c>
      <c r="H60">
        <v>10</v>
      </c>
      <c r="I60" s="3">
        <v>36175</v>
      </c>
      <c r="J60">
        <v>759675</v>
      </c>
      <c r="K60" t="str">
        <f t="shared" si="0"/>
        <v>janeiro</v>
      </c>
      <c r="L60" s="4">
        <v>43485</v>
      </c>
      <c r="M60" s="2">
        <v>0.66319444444444442</v>
      </c>
      <c r="N60" s="1" t="s">
        <v>29</v>
      </c>
      <c r="O60" s="3">
        <v>7235</v>
      </c>
      <c r="P60">
        <v>4761904762</v>
      </c>
      <c r="Q60" s="3">
        <v>36175</v>
      </c>
      <c r="R60">
        <v>54</v>
      </c>
      <c r="S60" s="3">
        <f>G60*SuperMarket_Analysis[[#This Row],[Quantity]]</f>
        <v>72350</v>
      </c>
    </row>
    <row r="61" spans="1:19" x14ac:dyDescent="0.25">
      <c r="A61" s="1" t="s">
        <v>94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3">
        <v>3061</v>
      </c>
      <c r="H61">
        <v>6</v>
      </c>
      <c r="I61" s="3">
        <v>9183</v>
      </c>
      <c r="J61">
        <v>192843</v>
      </c>
      <c r="K61" t="str">
        <f t="shared" si="0"/>
        <v>março</v>
      </c>
      <c r="L61" s="4">
        <v>43536</v>
      </c>
      <c r="M61" s="2">
        <v>0.85833333333333328</v>
      </c>
      <c r="N61" s="1" t="s">
        <v>29</v>
      </c>
      <c r="O61" s="3">
        <v>18366</v>
      </c>
      <c r="P61">
        <v>4761904762</v>
      </c>
      <c r="Q61" s="3">
        <v>9183</v>
      </c>
      <c r="R61">
        <v>93</v>
      </c>
      <c r="S61" s="3">
        <f>G61*SuperMarket_Analysis[[#This Row],[Quantity]]</f>
        <v>18366</v>
      </c>
    </row>
    <row r="62" spans="1:19" x14ac:dyDescent="0.25">
      <c r="A62" s="1" t="s">
        <v>95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35</v>
      </c>
      <c r="G62" s="3">
        <v>2474</v>
      </c>
      <c r="H62">
        <v>3</v>
      </c>
      <c r="I62" s="3">
        <v>3711</v>
      </c>
      <c r="J62">
        <v>77931</v>
      </c>
      <c r="K62" t="str">
        <f t="shared" si="0"/>
        <v>fevereiro</v>
      </c>
      <c r="L62" s="4">
        <v>43511</v>
      </c>
      <c r="M62" s="2">
        <v>0.74097222222222225</v>
      </c>
      <c r="N62" s="1" t="s">
        <v>32</v>
      </c>
      <c r="O62" s="3">
        <v>7422</v>
      </c>
      <c r="P62">
        <v>4761904762</v>
      </c>
      <c r="Q62" s="3">
        <v>3711</v>
      </c>
      <c r="R62">
        <v>10</v>
      </c>
      <c r="S62" s="3">
        <f>G62*SuperMarket_Analysis[[#This Row],[Quantity]]</f>
        <v>7422</v>
      </c>
    </row>
    <row r="63" spans="1:19" x14ac:dyDescent="0.25">
      <c r="A63" s="1" t="s">
        <v>96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3">
        <v>5573</v>
      </c>
      <c r="H63">
        <v>6</v>
      </c>
      <c r="I63" s="3">
        <v>16719</v>
      </c>
      <c r="J63">
        <v>351099</v>
      </c>
      <c r="K63" t="str">
        <f t="shared" si="0"/>
        <v>fevereiro</v>
      </c>
      <c r="L63" s="4">
        <v>43520</v>
      </c>
      <c r="M63" s="2">
        <v>0.4548611111111111</v>
      </c>
      <c r="N63" s="1" t="s">
        <v>23</v>
      </c>
      <c r="O63" s="3">
        <v>33438</v>
      </c>
      <c r="P63">
        <v>4761904762</v>
      </c>
      <c r="Q63" s="3">
        <v>16719</v>
      </c>
      <c r="R63">
        <v>7</v>
      </c>
      <c r="S63" s="3">
        <f>G63*SuperMarket_Analysis[[#This Row],[Quantity]]</f>
        <v>33438</v>
      </c>
    </row>
    <row r="64" spans="1:19" x14ac:dyDescent="0.25">
      <c r="A64" s="1" t="s">
        <v>97</v>
      </c>
      <c r="B64" s="1" t="s">
        <v>41</v>
      </c>
      <c r="C64" s="1" t="s">
        <v>42</v>
      </c>
      <c r="D64" s="1" t="s">
        <v>20</v>
      </c>
      <c r="E64" s="1" t="s">
        <v>21</v>
      </c>
      <c r="F64" s="1" t="s">
        <v>35</v>
      </c>
      <c r="G64" s="3">
        <v>5507</v>
      </c>
      <c r="H64">
        <v>9</v>
      </c>
      <c r="I64" s="3">
        <v>247815</v>
      </c>
      <c r="J64">
        <v>5204115</v>
      </c>
      <c r="K64" t="str">
        <f t="shared" si="0"/>
        <v>fevereiro</v>
      </c>
      <c r="L64" s="4">
        <v>43499</v>
      </c>
      <c r="M64" s="2">
        <v>0.56944444444444442</v>
      </c>
      <c r="N64" s="1" t="s">
        <v>23</v>
      </c>
      <c r="O64" s="3">
        <v>49563</v>
      </c>
      <c r="P64">
        <v>4761904762</v>
      </c>
      <c r="Q64" s="3">
        <v>247815</v>
      </c>
      <c r="R64">
        <v>10</v>
      </c>
      <c r="S64" s="3">
        <f>G64*SuperMarket_Analysis[[#This Row],[Quantity]]</f>
        <v>49563</v>
      </c>
    </row>
    <row r="65" spans="1:19" x14ac:dyDescent="0.25">
      <c r="A65" s="1" t="s">
        <v>98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35</v>
      </c>
      <c r="G65" s="3">
        <v>1581</v>
      </c>
      <c r="H65">
        <v>10</v>
      </c>
      <c r="I65" s="3">
        <v>7905</v>
      </c>
      <c r="J65">
        <v>166005</v>
      </c>
      <c r="K65" t="str">
        <f t="shared" si="0"/>
        <v>março</v>
      </c>
      <c r="L65" s="4">
        <v>43530</v>
      </c>
      <c r="M65" s="2">
        <v>0.51875000000000004</v>
      </c>
      <c r="N65" s="1" t="s">
        <v>32</v>
      </c>
      <c r="O65" s="3">
        <v>1581</v>
      </c>
      <c r="P65">
        <v>4761904762</v>
      </c>
      <c r="Q65" s="3">
        <v>7905</v>
      </c>
      <c r="R65">
        <v>86</v>
      </c>
      <c r="S65" s="3">
        <f>G65*SuperMarket_Analysis[[#This Row],[Quantity]]</f>
        <v>15810</v>
      </c>
    </row>
    <row r="66" spans="1:19" x14ac:dyDescent="0.25">
      <c r="A66" s="1" t="s">
        <v>99</v>
      </c>
      <c r="B66" s="1" t="s">
        <v>41</v>
      </c>
      <c r="C66" s="1" t="s">
        <v>42</v>
      </c>
      <c r="D66" s="1" t="s">
        <v>20</v>
      </c>
      <c r="E66" s="1" t="s">
        <v>21</v>
      </c>
      <c r="F66" s="1" t="s">
        <v>22</v>
      </c>
      <c r="G66" s="3">
        <v>7574</v>
      </c>
      <c r="H66">
        <v>4</v>
      </c>
      <c r="I66" s="3">
        <v>15148</v>
      </c>
      <c r="J66">
        <v>318108</v>
      </c>
      <c r="K66" t="str">
        <f t="shared" ref="K66:K129" si="1">TEXT(L66, "mmmm")</f>
        <v>fevereiro</v>
      </c>
      <c r="L66" s="4">
        <v>43510</v>
      </c>
      <c r="M66" s="2">
        <v>0.60763888888888884</v>
      </c>
      <c r="N66" s="1" t="s">
        <v>29</v>
      </c>
      <c r="O66" s="3">
        <v>30296</v>
      </c>
      <c r="P66">
        <v>4761904762</v>
      </c>
      <c r="Q66" s="3">
        <v>15148</v>
      </c>
      <c r="R66">
        <v>76</v>
      </c>
      <c r="S66" s="3">
        <f>G66*SuperMarket_Analysis[[#This Row],[Quantity]]</f>
        <v>30296</v>
      </c>
    </row>
    <row r="67" spans="1:19" x14ac:dyDescent="0.25">
      <c r="A67" s="1" t="s">
        <v>100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3">
        <v>1587</v>
      </c>
      <c r="H67">
        <v>10</v>
      </c>
      <c r="I67" s="3">
        <v>7935</v>
      </c>
      <c r="J67">
        <v>166635</v>
      </c>
      <c r="K67" t="str">
        <f t="shared" si="1"/>
        <v>março</v>
      </c>
      <c r="L67" s="4">
        <v>43537</v>
      </c>
      <c r="M67" s="2">
        <v>0.69444444444444442</v>
      </c>
      <c r="N67" s="1" t="s">
        <v>29</v>
      </c>
      <c r="O67" s="3">
        <v>1587</v>
      </c>
      <c r="P67">
        <v>4761904762</v>
      </c>
      <c r="Q67" s="3">
        <v>7935</v>
      </c>
      <c r="R67">
        <v>58</v>
      </c>
      <c r="S67" s="3">
        <f>G67*SuperMarket_Analysis[[#This Row],[Quantity]]</f>
        <v>15870</v>
      </c>
    </row>
    <row r="68" spans="1:19" x14ac:dyDescent="0.25">
      <c r="A68" s="1" t="s">
        <v>101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3">
        <v>3347</v>
      </c>
      <c r="H68">
        <v>2</v>
      </c>
      <c r="I68" s="3">
        <v>3347</v>
      </c>
      <c r="J68">
        <v>70287</v>
      </c>
      <c r="K68" t="str">
        <f t="shared" si="1"/>
        <v>fevereiro</v>
      </c>
      <c r="L68" s="4">
        <v>43506</v>
      </c>
      <c r="M68" s="2">
        <v>0.65486111111111112</v>
      </c>
      <c r="N68" s="1" t="s">
        <v>23</v>
      </c>
      <c r="O68" s="3">
        <v>6694</v>
      </c>
      <c r="P68">
        <v>4761904762</v>
      </c>
      <c r="Q68" s="3">
        <v>3347</v>
      </c>
      <c r="R68">
        <v>67</v>
      </c>
      <c r="S68" s="3">
        <f>G68*SuperMarket_Analysis[[#This Row],[Quantity]]</f>
        <v>6694</v>
      </c>
    </row>
    <row r="69" spans="1:19" x14ac:dyDescent="0.25">
      <c r="A69" s="1" t="s">
        <v>102</v>
      </c>
      <c r="B69" s="1" t="s">
        <v>41</v>
      </c>
      <c r="C69" s="1" t="s">
        <v>42</v>
      </c>
      <c r="D69" s="1" t="s">
        <v>20</v>
      </c>
      <c r="E69" s="1" t="s">
        <v>21</v>
      </c>
      <c r="F69" s="1" t="s">
        <v>45</v>
      </c>
      <c r="G69" s="3">
        <v>9761</v>
      </c>
      <c r="H69">
        <v>6</v>
      </c>
      <c r="I69" s="3">
        <v>29283</v>
      </c>
      <c r="J69">
        <v>614943</v>
      </c>
      <c r="K69" t="str">
        <f t="shared" si="1"/>
        <v>janeiro</v>
      </c>
      <c r="L69" s="4">
        <v>43472</v>
      </c>
      <c r="M69" s="2">
        <v>0.62569444444444444</v>
      </c>
      <c r="N69" s="1" t="s">
        <v>23</v>
      </c>
      <c r="O69" s="3">
        <v>58566</v>
      </c>
      <c r="P69">
        <v>4761904762</v>
      </c>
      <c r="Q69" s="3">
        <v>29283</v>
      </c>
      <c r="R69">
        <v>99</v>
      </c>
      <c r="S69" s="3">
        <f>G69*SuperMarket_Analysis[[#This Row],[Quantity]]</f>
        <v>58566</v>
      </c>
    </row>
    <row r="70" spans="1:19" x14ac:dyDescent="0.25">
      <c r="A70" s="1" t="s">
        <v>103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35</v>
      </c>
      <c r="G70" s="3">
        <v>7877</v>
      </c>
      <c r="H70">
        <v>10</v>
      </c>
      <c r="I70" s="3">
        <v>39385</v>
      </c>
      <c r="J70">
        <v>827085</v>
      </c>
      <c r="K70" t="str">
        <f t="shared" si="1"/>
        <v>janeiro</v>
      </c>
      <c r="L70" s="4">
        <v>43489</v>
      </c>
      <c r="M70" s="2">
        <v>0.41944444444444445</v>
      </c>
      <c r="N70" s="1" t="s">
        <v>29</v>
      </c>
      <c r="O70" s="3">
        <v>7877</v>
      </c>
      <c r="P70">
        <v>4761904762</v>
      </c>
      <c r="Q70" s="3">
        <v>39385</v>
      </c>
      <c r="R70">
        <v>64</v>
      </c>
      <c r="S70" s="3">
        <f>G70*SuperMarket_Analysis[[#This Row],[Quantity]]</f>
        <v>78770</v>
      </c>
    </row>
    <row r="71" spans="1:19" x14ac:dyDescent="0.25">
      <c r="A71" s="1" t="s">
        <v>104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3">
        <v>1833</v>
      </c>
      <c r="H71">
        <v>1</v>
      </c>
      <c r="I71" s="3">
        <v>9165</v>
      </c>
      <c r="J71">
        <v>192465</v>
      </c>
      <c r="K71" t="str">
        <f t="shared" si="1"/>
        <v>fevereiro</v>
      </c>
      <c r="L71" s="4">
        <v>43498</v>
      </c>
      <c r="M71" s="2">
        <v>0.78472222222222221</v>
      </c>
      <c r="N71" s="1" t="s">
        <v>29</v>
      </c>
      <c r="O71" s="3">
        <v>1833</v>
      </c>
      <c r="P71">
        <v>4761904762</v>
      </c>
      <c r="Q71" s="3">
        <v>9165</v>
      </c>
      <c r="R71">
        <v>43</v>
      </c>
      <c r="S71" s="3">
        <f>G71*SuperMarket_Analysis[[#This Row],[Quantity]]</f>
        <v>1833</v>
      </c>
    </row>
    <row r="72" spans="1:19" x14ac:dyDescent="0.25">
      <c r="A72" s="1" t="s">
        <v>105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43</v>
      </c>
      <c r="G72" s="3">
        <v>8948</v>
      </c>
      <c r="H72">
        <v>10</v>
      </c>
      <c r="I72" s="3">
        <v>4474</v>
      </c>
      <c r="J72">
        <v>93954</v>
      </c>
      <c r="K72" t="str">
        <f t="shared" si="1"/>
        <v>janeiro</v>
      </c>
      <c r="L72" s="4">
        <v>43471</v>
      </c>
      <c r="M72" s="2">
        <v>0.53194444444444444</v>
      </c>
      <c r="N72" s="1" t="s">
        <v>32</v>
      </c>
      <c r="O72" s="3">
        <v>8948</v>
      </c>
      <c r="P72">
        <v>4761904762</v>
      </c>
      <c r="Q72" s="3">
        <v>4474</v>
      </c>
      <c r="R72">
        <v>96</v>
      </c>
      <c r="S72" s="3">
        <f>G72*SuperMarket_Analysis[[#This Row],[Quantity]]</f>
        <v>89480</v>
      </c>
    </row>
    <row r="73" spans="1:19" x14ac:dyDescent="0.25">
      <c r="A73" s="1" t="s">
        <v>106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45</v>
      </c>
      <c r="G73" s="3">
        <v>6212</v>
      </c>
      <c r="H73">
        <v>10</v>
      </c>
      <c r="I73" s="3">
        <v>3106</v>
      </c>
      <c r="J73">
        <v>65226</v>
      </c>
      <c r="K73" t="str">
        <f t="shared" si="1"/>
        <v>fevereiro</v>
      </c>
      <c r="L73" s="4">
        <v>43507</v>
      </c>
      <c r="M73" s="2">
        <v>0.67986111111111114</v>
      </c>
      <c r="N73" s="1" t="s">
        <v>29</v>
      </c>
      <c r="O73" s="3">
        <v>6212</v>
      </c>
      <c r="P73">
        <v>4761904762</v>
      </c>
      <c r="Q73" s="3">
        <v>3106</v>
      </c>
      <c r="R73">
        <v>59</v>
      </c>
      <c r="S73" s="3">
        <f>G73*SuperMarket_Analysis[[#This Row],[Quantity]]</f>
        <v>62120</v>
      </c>
    </row>
    <row r="74" spans="1:19" x14ac:dyDescent="0.25">
      <c r="A74" s="1" t="s">
        <v>107</v>
      </c>
      <c r="B74" s="1" t="s">
        <v>41</v>
      </c>
      <c r="C74" s="1" t="s">
        <v>42</v>
      </c>
      <c r="D74" s="1" t="s">
        <v>20</v>
      </c>
      <c r="E74" s="1" t="s">
        <v>21</v>
      </c>
      <c r="F74" s="1" t="s">
        <v>43</v>
      </c>
      <c r="G74" s="3">
        <v>4852</v>
      </c>
      <c r="H74">
        <v>3</v>
      </c>
      <c r="I74" s="3">
        <v>7278</v>
      </c>
      <c r="J74">
        <v>152838</v>
      </c>
      <c r="K74" t="str">
        <f t="shared" si="1"/>
        <v>março</v>
      </c>
      <c r="L74" s="4">
        <v>43529</v>
      </c>
      <c r="M74" s="2">
        <v>0.76180555555555551</v>
      </c>
      <c r="N74" s="1" t="s">
        <v>23</v>
      </c>
      <c r="O74" s="3">
        <v>14556</v>
      </c>
      <c r="P74">
        <v>4761904762</v>
      </c>
      <c r="Q74" s="3">
        <v>7278</v>
      </c>
      <c r="R74">
        <v>4</v>
      </c>
      <c r="S74" s="3">
        <f>G74*SuperMarket_Analysis[[#This Row],[Quantity]]</f>
        <v>14556</v>
      </c>
    </row>
    <row r="75" spans="1:19" x14ac:dyDescent="0.25">
      <c r="A75" s="1" t="s">
        <v>108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3">
        <v>7591</v>
      </c>
      <c r="H75">
        <v>6</v>
      </c>
      <c r="I75" s="3">
        <v>22773</v>
      </c>
      <c r="J75">
        <v>478233</v>
      </c>
      <c r="K75" t="str">
        <f t="shared" si="1"/>
        <v>março</v>
      </c>
      <c r="L75" s="4">
        <v>43533</v>
      </c>
      <c r="M75" s="2">
        <v>0.76458333333333328</v>
      </c>
      <c r="N75" s="1" t="s">
        <v>29</v>
      </c>
      <c r="O75" s="3">
        <v>45546</v>
      </c>
      <c r="P75">
        <v>4761904762</v>
      </c>
      <c r="Q75" s="3">
        <v>22773</v>
      </c>
      <c r="R75">
        <v>87</v>
      </c>
      <c r="S75" s="3">
        <f>G75*SuperMarket_Analysis[[#This Row],[Quantity]]</f>
        <v>45546</v>
      </c>
    </row>
    <row r="76" spans="1:19" x14ac:dyDescent="0.25">
      <c r="A76" s="1" t="s">
        <v>109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3">
        <v>7467</v>
      </c>
      <c r="H76">
        <v>9</v>
      </c>
      <c r="I76" s="3">
        <v>336015</v>
      </c>
      <c r="J76">
        <v>7056315</v>
      </c>
      <c r="K76" t="str">
        <f t="shared" si="1"/>
        <v>janeiro</v>
      </c>
      <c r="L76" s="4">
        <v>43487</v>
      </c>
      <c r="M76" s="2">
        <v>0.4548611111111111</v>
      </c>
      <c r="N76" s="1" t="s">
        <v>23</v>
      </c>
      <c r="O76" s="3">
        <v>67203</v>
      </c>
      <c r="P76">
        <v>4761904762</v>
      </c>
      <c r="Q76" s="3">
        <v>336015</v>
      </c>
      <c r="R76">
        <v>94</v>
      </c>
      <c r="S76" s="3">
        <f>G76*SuperMarket_Analysis[[#This Row],[Quantity]]</f>
        <v>67203</v>
      </c>
    </row>
    <row r="77" spans="1:19" x14ac:dyDescent="0.25">
      <c r="A77" s="1" t="s">
        <v>110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3">
        <v>4165</v>
      </c>
      <c r="H77">
        <v>10</v>
      </c>
      <c r="I77" s="3">
        <v>20825</v>
      </c>
      <c r="J77">
        <v>437325</v>
      </c>
      <c r="K77" t="str">
        <f t="shared" si="1"/>
        <v>janeiro</v>
      </c>
      <c r="L77" s="4">
        <v>43478</v>
      </c>
      <c r="M77" s="2">
        <v>0.71111111111111114</v>
      </c>
      <c r="N77" s="1" t="s">
        <v>32</v>
      </c>
      <c r="O77" s="3">
        <v>4165</v>
      </c>
      <c r="P77">
        <v>4761904762</v>
      </c>
      <c r="Q77" s="3">
        <v>20825</v>
      </c>
      <c r="R77">
        <v>54</v>
      </c>
      <c r="S77" s="3">
        <f>G77*SuperMarket_Analysis[[#This Row],[Quantity]]</f>
        <v>41650</v>
      </c>
    </row>
    <row r="78" spans="1:19" x14ac:dyDescent="0.25">
      <c r="A78" s="1" t="s">
        <v>111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45</v>
      </c>
      <c r="G78" s="3">
        <v>4904</v>
      </c>
      <c r="H78">
        <v>9</v>
      </c>
      <c r="I78" s="3">
        <v>22068</v>
      </c>
      <c r="J78">
        <v>463428</v>
      </c>
      <c r="K78" t="str">
        <f t="shared" si="1"/>
        <v>janeiro</v>
      </c>
      <c r="L78" s="4">
        <v>43474</v>
      </c>
      <c r="M78" s="2">
        <v>0.59722222222222221</v>
      </c>
      <c r="N78" s="1" t="s">
        <v>32</v>
      </c>
      <c r="O78" s="3">
        <v>44136</v>
      </c>
      <c r="P78">
        <v>4761904762</v>
      </c>
      <c r="Q78" s="3">
        <v>22068</v>
      </c>
      <c r="R78">
        <v>86</v>
      </c>
      <c r="S78" s="3">
        <f>G78*SuperMarket_Analysis[[#This Row],[Quantity]]</f>
        <v>44136</v>
      </c>
    </row>
    <row r="79" spans="1:19" x14ac:dyDescent="0.25">
      <c r="A79" s="1" t="s">
        <v>112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45</v>
      </c>
      <c r="G79" s="3">
        <v>2001</v>
      </c>
      <c r="H79">
        <v>9</v>
      </c>
      <c r="I79" s="3">
        <v>90045</v>
      </c>
      <c r="J79">
        <v>1890945</v>
      </c>
      <c r="K79" t="str">
        <f t="shared" si="1"/>
        <v>janeiro</v>
      </c>
      <c r="L79" s="4">
        <v>43477</v>
      </c>
      <c r="M79" s="2">
        <v>0.65833333333333333</v>
      </c>
      <c r="N79" s="1" t="s">
        <v>32</v>
      </c>
      <c r="O79" s="3">
        <v>18009</v>
      </c>
      <c r="P79">
        <v>4761904762</v>
      </c>
      <c r="Q79" s="3">
        <v>90045</v>
      </c>
      <c r="R79">
        <v>57</v>
      </c>
      <c r="S79" s="3">
        <f>G79*SuperMarket_Analysis[[#This Row],[Quantity]]</f>
        <v>18009</v>
      </c>
    </row>
    <row r="80" spans="1:19" x14ac:dyDescent="0.25">
      <c r="A80" s="1" t="s">
        <v>113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43</v>
      </c>
      <c r="G80" s="3">
        <v>7831</v>
      </c>
      <c r="H80">
        <v>10</v>
      </c>
      <c r="I80" s="3">
        <v>39155</v>
      </c>
      <c r="J80">
        <v>822255</v>
      </c>
      <c r="K80" t="str">
        <f t="shared" si="1"/>
        <v>março</v>
      </c>
      <c r="L80" s="4">
        <v>43529</v>
      </c>
      <c r="M80" s="2">
        <v>0.68333333333333335</v>
      </c>
      <c r="N80" s="1" t="s">
        <v>23</v>
      </c>
      <c r="O80" s="3">
        <v>7831</v>
      </c>
      <c r="P80">
        <v>4761904762</v>
      </c>
      <c r="Q80" s="3">
        <v>39155</v>
      </c>
      <c r="R80">
        <v>66</v>
      </c>
      <c r="S80" s="3">
        <f>G80*SuperMarket_Analysis[[#This Row],[Quantity]]</f>
        <v>78310</v>
      </c>
    </row>
    <row r="81" spans="1:19" x14ac:dyDescent="0.25">
      <c r="A81" s="1" t="s">
        <v>114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3">
        <v>2038</v>
      </c>
      <c r="H81">
        <v>5</v>
      </c>
      <c r="I81" s="3">
        <v>5095</v>
      </c>
      <c r="J81">
        <v>106995</v>
      </c>
      <c r="K81" t="str">
        <f t="shared" si="1"/>
        <v>janeiro</v>
      </c>
      <c r="L81" s="4">
        <v>43487</v>
      </c>
      <c r="M81" s="2">
        <v>0.78888888888888886</v>
      </c>
      <c r="N81" s="1" t="s">
        <v>29</v>
      </c>
      <c r="O81" s="3">
        <v>1019</v>
      </c>
      <c r="P81">
        <v>4761904762</v>
      </c>
      <c r="Q81" s="3">
        <v>5095</v>
      </c>
      <c r="R81">
        <v>6</v>
      </c>
      <c r="S81" s="3">
        <f>G81*SuperMarket_Analysis[[#This Row],[Quantity]]</f>
        <v>10190</v>
      </c>
    </row>
    <row r="82" spans="1:19" x14ac:dyDescent="0.25">
      <c r="A82" s="1" t="s">
        <v>115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3">
        <v>9919</v>
      </c>
      <c r="H82">
        <v>6</v>
      </c>
      <c r="I82" s="3">
        <v>29757</v>
      </c>
      <c r="J82">
        <v>624897</v>
      </c>
      <c r="K82" t="str">
        <f t="shared" si="1"/>
        <v>janeiro</v>
      </c>
      <c r="L82" s="4">
        <v>43486</v>
      </c>
      <c r="M82" s="2">
        <v>0.61250000000000004</v>
      </c>
      <c r="N82" s="1" t="s">
        <v>32</v>
      </c>
      <c r="O82" s="3">
        <v>59514</v>
      </c>
      <c r="P82">
        <v>4761904762</v>
      </c>
      <c r="Q82" s="3">
        <v>29757</v>
      </c>
      <c r="R82">
        <v>55</v>
      </c>
      <c r="S82" s="3">
        <f>G82*SuperMarket_Analysis[[#This Row],[Quantity]]</f>
        <v>59514</v>
      </c>
    </row>
    <row r="83" spans="1:19" x14ac:dyDescent="0.25">
      <c r="A83" s="1" t="s">
        <v>116</v>
      </c>
      <c r="B83" s="1" t="s">
        <v>41</v>
      </c>
      <c r="C83" s="1" t="s">
        <v>42</v>
      </c>
      <c r="D83" s="1" t="s">
        <v>20</v>
      </c>
      <c r="E83" s="1" t="s">
        <v>21</v>
      </c>
      <c r="F83" s="1" t="s">
        <v>43</v>
      </c>
      <c r="G83" s="3">
        <v>9668</v>
      </c>
      <c r="H83">
        <v>3</v>
      </c>
      <c r="I83" s="3">
        <v>14502</v>
      </c>
      <c r="J83">
        <v>304542</v>
      </c>
      <c r="K83" t="str">
        <f t="shared" si="1"/>
        <v>janeiro</v>
      </c>
      <c r="L83" s="4">
        <v>43491</v>
      </c>
      <c r="M83" s="2">
        <v>0.8305555555555556</v>
      </c>
      <c r="N83" s="1" t="s">
        <v>23</v>
      </c>
      <c r="O83" s="3">
        <v>29004</v>
      </c>
      <c r="P83">
        <v>4761904762</v>
      </c>
      <c r="Q83" s="3">
        <v>14502</v>
      </c>
      <c r="R83">
        <v>64</v>
      </c>
      <c r="S83" s="3">
        <f>G83*SuperMarket_Analysis[[#This Row],[Quantity]]</f>
        <v>29004</v>
      </c>
    </row>
    <row r="84" spans="1:19" x14ac:dyDescent="0.25">
      <c r="A84" s="1" t="s">
        <v>117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43</v>
      </c>
      <c r="G84" s="3">
        <v>1925</v>
      </c>
      <c r="H84">
        <v>8</v>
      </c>
      <c r="I84" s="3">
        <v>77</v>
      </c>
      <c r="J84">
        <v>1617</v>
      </c>
      <c r="K84" t="str">
        <f t="shared" si="1"/>
        <v>janeiro</v>
      </c>
      <c r="L84" s="4">
        <v>43488</v>
      </c>
      <c r="M84" s="2">
        <v>0.77569444444444446</v>
      </c>
      <c r="N84" s="1" t="s">
        <v>23</v>
      </c>
      <c r="O84" s="3">
        <v>154</v>
      </c>
      <c r="P84">
        <v>4761904762</v>
      </c>
      <c r="Q84" s="3">
        <v>77</v>
      </c>
      <c r="R84">
        <v>66</v>
      </c>
      <c r="S84" s="3">
        <f>G84*SuperMarket_Analysis[[#This Row],[Quantity]]</f>
        <v>15400</v>
      </c>
    </row>
    <row r="85" spans="1:19" x14ac:dyDescent="0.25">
      <c r="A85" s="1" t="s">
        <v>118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43</v>
      </c>
      <c r="G85" s="3">
        <v>8036</v>
      </c>
      <c r="H85">
        <v>4</v>
      </c>
      <c r="I85" s="3">
        <v>16072</v>
      </c>
      <c r="J85">
        <v>337512</v>
      </c>
      <c r="K85" t="str">
        <f t="shared" si="1"/>
        <v>fevereiro</v>
      </c>
      <c r="L85" s="4">
        <v>43519</v>
      </c>
      <c r="M85" s="2">
        <v>0.78125</v>
      </c>
      <c r="N85" s="1" t="s">
        <v>32</v>
      </c>
      <c r="O85" s="3">
        <v>32144</v>
      </c>
      <c r="P85">
        <v>4761904762</v>
      </c>
      <c r="Q85" s="3">
        <v>16072</v>
      </c>
      <c r="R85">
        <v>83</v>
      </c>
      <c r="S85" s="3">
        <f>G85*SuperMarket_Analysis[[#This Row],[Quantity]]</f>
        <v>32144</v>
      </c>
    </row>
    <row r="86" spans="1:19" x14ac:dyDescent="0.25">
      <c r="A86" s="1" t="s">
        <v>119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35</v>
      </c>
      <c r="G86" s="3">
        <v>4891</v>
      </c>
      <c r="H86">
        <v>5</v>
      </c>
      <c r="I86" s="3">
        <v>122275</v>
      </c>
      <c r="J86">
        <v>2567775</v>
      </c>
      <c r="K86" t="str">
        <f t="shared" si="1"/>
        <v>março</v>
      </c>
      <c r="L86" s="4">
        <v>43533</v>
      </c>
      <c r="M86" s="2">
        <v>0.4284722222222222</v>
      </c>
      <c r="N86" s="1" t="s">
        <v>29</v>
      </c>
      <c r="O86" s="3">
        <v>24455</v>
      </c>
      <c r="P86">
        <v>4761904762</v>
      </c>
      <c r="Q86" s="3">
        <v>122275</v>
      </c>
      <c r="R86">
        <v>66</v>
      </c>
      <c r="S86" s="3">
        <f>G86*SuperMarket_Analysis[[#This Row],[Quantity]]</f>
        <v>24455</v>
      </c>
    </row>
    <row r="87" spans="1:19" x14ac:dyDescent="0.25">
      <c r="A87" s="1" t="s">
        <v>120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35</v>
      </c>
      <c r="G87" s="3">
        <v>8306</v>
      </c>
      <c r="H87">
        <v>7</v>
      </c>
      <c r="I87" s="3">
        <v>29071</v>
      </c>
      <c r="J87">
        <v>610491</v>
      </c>
      <c r="K87" t="str">
        <f t="shared" si="1"/>
        <v>março</v>
      </c>
      <c r="L87" s="4">
        <v>43529</v>
      </c>
      <c r="M87" s="2">
        <v>0.60486111111111107</v>
      </c>
      <c r="N87" s="1" t="s">
        <v>23</v>
      </c>
      <c r="O87" s="3">
        <v>58142</v>
      </c>
      <c r="P87">
        <v>4761904762</v>
      </c>
      <c r="Q87" s="3">
        <v>29071</v>
      </c>
      <c r="R87">
        <v>4</v>
      </c>
      <c r="S87" s="3">
        <f>G87*SuperMarket_Analysis[[#This Row],[Quantity]]</f>
        <v>58142</v>
      </c>
    </row>
    <row r="88" spans="1:19" x14ac:dyDescent="0.25">
      <c r="A88" s="1" t="s">
        <v>121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45</v>
      </c>
      <c r="G88" s="3">
        <v>7652</v>
      </c>
      <c r="H88">
        <v>5</v>
      </c>
      <c r="I88" s="3">
        <v>1913</v>
      </c>
      <c r="J88">
        <v>40173</v>
      </c>
      <c r="K88" t="str">
        <f t="shared" si="1"/>
        <v>março</v>
      </c>
      <c r="L88" s="4">
        <v>43549</v>
      </c>
      <c r="M88" s="2">
        <v>0.43263888888888891</v>
      </c>
      <c r="N88" s="1" t="s">
        <v>29</v>
      </c>
      <c r="O88" s="3">
        <v>3826</v>
      </c>
      <c r="P88">
        <v>4761904762</v>
      </c>
      <c r="Q88" s="3">
        <v>1913</v>
      </c>
      <c r="R88">
        <v>99</v>
      </c>
      <c r="S88" s="3">
        <f>G88*SuperMarket_Analysis[[#This Row],[Quantity]]</f>
        <v>38260</v>
      </c>
    </row>
    <row r="89" spans="1:19" x14ac:dyDescent="0.25">
      <c r="A89" s="1" t="s">
        <v>122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43</v>
      </c>
      <c r="G89" s="3">
        <v>4938</v>
      </c>
      <c r="H89">
        <v>7</v>
      </c>
      <c r="I89" s="3">
        <v>17283</v>
      </c>
      <c r="J89">
        <v>362943</v>
      </c>
      <c r="K89" t="str">
        <f t="shared" si="1"/>
        <v>março</v>
      </c>
      <c r="L89" s="4">
        <v>43551</v>
      </c>
      <c r="M89" s="2">
        <v>0.85763888888888884</v>
      </c>
      <c r="N89" s="1" t="s">
        <v>32</v>
      </c>
      <c r="O89" s="3">
        <v>34566</v>
      </c>
      <c r="P89">
        <v>4761904762</v>
      </c>
      <c r="Q89" s="3">
        <v>17283</v>
      </c>
      <c r="R89">
        <v>73</v>
      </c>
      <c r="S89" s="3">
        <f>G89*SuperMarket_Analysis[[#This Row],[Quantity]]</f>
        <v>34566</v>
      </c>
    </row>
    <row r="90" spans="1:19" x14ac:dyDescent="0.25">
      <c r="A90" s="1" t="s">
        <v>123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35</v>
      </c>
      <c r="G90" s="3">
        <v>4247</v>
      </c>
      <c r="H90">
        <v>1</v>
      </c>
      <c r="I90" s="3">
        <v>21235</v>
      </c>
      <c r="J90">
        <v>445935</v>
      </c>
      <c r="K90" t="str">
        <f t="shared" si="1"/>
        <v>janeiro</v>
      </c>
      <c r="L90" s="4">
        <v>43467</v>
      </c>
      <c r="M90" s="2">
        <v>0.70625000000000004</v>
      </c>
      <c r="N90" s="1" t="s">
        <v>29</v>
      </c>
      <c r="O90" s="3">
        <v>4247</v>
      </c>
      <c r="P90">
        <v>4761904762</v>
      </c>
      <c r="Q90" s="3">
        <v>21235</v>
      </c>
      <c r="R90">
        <v>57</v>
      </c>
      <c r="S90" s="3">
        <f>G90*SuperMarket_Analysis[[#This Row],[Quantity]]</f>
        <v>4247</v>
      </c>
    </row>
    <row r="91" spans="1:19" x14ac:dyDescent="0.25">
      <c r="A91" s="1" t="s">
        <v>124</v>
      </c>
      <c r="B91" s="1" t="s">
        <v>41</v>
      </c>
      <c r="C91" s="1" t="s">
        <v>42</v>
      </c>
      <c r="D91" s="1" t="s">
        <v>20</v>
      </c>
      <c r="E91" s="1" t="s">
        <v>21</v>
      </c>
      <c r="F91" s="1" t="s">
        <v>22</v>
      </c>
      <c r="G91" s="3">
        <v>7699</v>
      </c>
      <c r="H91">
        <v>6</v>
      </c>
      <c r="I91" s="3">
        <v>23097</v>
      </c>
      <c r="J91">
        <v>485037</v>
      </c>
      <c r="K91" t="str">
        <f t="shared" si="1"/>
        <v>fevereiro</v>
      </c>
      <c r="L91" s="4">
        <v>43523</v>
      </c>
      <c r="M91" s="2">
        <v>0.74652777777777779</v>
      </c>
      <c r="N91" s="1" t="s">
        <v>29</v>
      </c>
      <c r="O91" s="3">
        <v>46194</v>
      </c>
      <c r="P91">
        <v>4761904762</v>
      </c>
      <c r="Q91" s="3">
        <v>23097</v>
      </c>
      <c r="R91">
        <v>61</v>
      </c>
      <c r="S91" s="3">
        <f>G91*SuperMarket_Analysis[[#This Row],[Quantity]]</f>
        <v>46194</v>
      </c>
    </row>
    <row r="92" spans="1:19" x14ac:dyDescent="0.25">
      <c r="A92" s="1" t="s">
        <v>125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3">
        <v>4738</v>
      </c>
      <c r="H92">
        <v>4</v>
      </c>
      <c r="I92" s="3">
        <v>9476</v>
      </c>
      <c r="J92">
        <v>198996</v>
      </c>
      <c r="K92" t="str">
        <f t="shared" si="1"/>
        <v>janeiro</v>
      </c>
      <c r="L92" s="4">
        <v>43488</v>
      </c>
      <c r="M92" s="2">
        <v>0.43402777777777779</v>
      </c>
      <c r="N92" s="1" t="s">
        <v>29</v>
      </c>
      <c r="O92" s="3">
        <v>18952</v>
      </c>
      <c r="P92">
        <v>4761904762</v>
      </c>
      <c r="Q92" s="3">
        <v>9476</v>
      </c>
      <c r="R92">
        <v>71</v>
      </c>
      <c r="S92" s="3">
        <f>G92*SuperMarket_Analysis[[#This Row],[Quantity]]</f>
        <v>18952</v>
      </c>
    </row>
    <row r="93" spans="1:19" x14ac:dyDescent="0.25">
      <c r="A93" s="1" t="s">
        <v>126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35</v>
      </c>
      <c r="G93" s="3">
        <v>4486</v>
      </c>
      <c r="H93">
        <v>10</v>
      </c>
      <c r="I93" s="3">
        <v>2243</v>
      </c>
      <c r="J93">
        <v>47103</v>
      </c>
      <c r="K93" t="str">
        <f t="shared" si="1"/>
        <v>janeiro</v>
      </c>
      <c r="L93" s="4">
        <v>43491</v>
      </c>
      <c r="M93" s="2">
        <v>0.82916666666666672</v>
      </c>
      <c r="N93" s="1" t="s">
        <v>23</v>
      </c>
      <c r="O93" s="3">
        <v>4486</v>
      </c>
      <c r="P93">
        <v>4761904762</v>
      </c>
      <c r="Q93" s="3">
        <v>2243</v>
      </c>
      <c r="R93">
        <v>82</v>
      </c>
      <c r="S93" s="3">
        <f>G93*SuperMarket_Analysis[[#This Row],[Quantity]]</f>
        <v>44860</v>
      </c>
    </row>
    <row r="94" spans="1:19" x14ac:dyDescent="0.25">
      <c r="A94" s="1" t="s">
        <v>127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35</v>
      </c>
      <c r="G94" s="3">
        <v>2198</v>
      </c>
      <c r="H94">
        <v>7</v>
      </c>
      <c r="I94" s="3">
        <v>7693</v>
      </c>
      <c r="J94">
        <v>161553</v>
      </c>
      <c r="K94" t="str">
        <f t="shared" si="1"/>
        <v>janeiro</v>
      </c>
      <c r="L94" s="4">
        <v>43475</v>
      </c>
      <c r="M94" s="2">
        <v>0.6958333333333333</v>
      </c>
      <c r="N94" s="1" t="s">
        <v>23</v>
      </c>
      <c r="O94" s="3">
        <v>15386</v>
      </c>
      <c r="P94">
        <v>4761904762</v>
      </c>
      <c r="Q94" s="3">
        <v>7693</v>
      </c>
      <c r="R94">
        <v>51</v>
      </c>
      <c r="S94" s="3">
        <f>G94*SuperMarket_Analysis[[#This Row],[Quantity]]</f>
        <v>15386</v>
      </c>
    </row>
    <row r="95" spans="1:19" x14ac:dyDescent="0.25">
      <c r="A95" s="1" t="s">
        <v>128</v>
      </c>
      <c r="B95" s="1" t="s">
        <v>41</v>
      </c>
      <c r="C95" s="1" t="s">
        <v>42</v>
      </c>
      <c r="D95" s="1" t="s">
        <v>20</v>
      </c>
      <c r="E95" s="1" t="s">
        <v>21</v>
      </c>
      <c r="F95" s="1" t="s">
        <v>22</v>
      </c>
      <c r="G95" s="3">
        <v>6436</v>
      </c>
      <c r="H95">
        <v>9</v>
      </c>
      <c r="I95" s="3">
        <v>28962</v>
      </c>
      <c r="J95">
        <v>608202</v>
      </c>
      <c r="K95" t="str">
        <f t="shared" si="1"/>
        <v>março</v>
      </c>
      <c r="L95" s="4">
        <v>43536</v>
      </c>
      <c r="M95" s="2">
        <v>0.50624999999999998</v>
      </c>
      <c r="N95" s="1" t="s">
        <v>32</v>
      </c>
      <c r="O95" s="3">
        <v>57924</v>
      </c>
      <c r="P95">
        <v>4761904762</v>
      </c>
      <c r="Q95" s="3">
        <v>28962</v>
      </c>
      <c r="R95">
        <v>86</v>
      </c>
      <c r="S95" s="3">
        <f>G95*SuperMarket_Analysis[[#This Row],[Quantity]]</f>
        <v>57924</v>
      </c>
    </row>
    <row r="96" spans="1:19" x14ac:dyDescent="0.25">
      <c r="A96" s="1" t="s">
        <v>129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3">
        <v>8975</v>
      </c>
      <c r="H96">
        <v>1</v>
      </c>
      <c r="I96" s="3">
        <v>44875</v>
      </c>
      <c r="J96">
        <v>942375</v>
      </c>
      <c r="K96" t="str">
        <f t="shared" si="1"/>
        <v>fevereiro</v>
      </c>
      <c r="L96" s="4">
        <v>43502</v>
      </c>
      <c r="M96" s="2">
        <v>0.83680555555555558</v>
      </c>
      <c r="N96" s="1" t="s">
        <v>32</v>
      </c>
      <c r="O96" s="3">
        <v>8975</v>
      </c>
      <c r="P96">
        <v>4761904762</v>
      </c>
      <c r="Q96" s="3">
        <v>44875</v>
      </c>
      <c r="R96">
        <v>66</v>
      </c>
      <c r="S96" s="3">
        <f>G96*SuperMarket_Analysis[[#This Row],[Quantity]]</f>
        <v>8975</v>
      </c>
    </row>
    <row r="97" spans="1:19" x14ac:dyDescent="0.25">
      <c r="A97" s="1" t="s">
        <v>130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3">
        <v>9716</v>
      </c>
      <c r="H97">
        <v>1</v>
      </c>
      <c r="I97" s="3">
        <v>4858</v>
      </c>
      <c r="J97">
        <v>102018</v>
      </c>
      <c r="K97" t="str">
        <f t="shared" si="1"/>
        <v>março</v>
      </c>
      <c r="L97" s="4">
        <v>43532</v>
      </c>
      <c r="M97" s="2">
        <v>0.85972222222222228</v>
      </c>
      <c r="N97" s="1" t="s">
        <v>23</v>
      </c>
      <c r="O97" s="3">
        <v>9716</v>
      </c>
      <c r="P97">
        <v>4761904762</v>
      </c>
      <c r="Q97" s="3">
        <v>4858</v>
      </c>
      <c r="R97">
        <v>72</v>
      </c>
      <c r="S97" s="3">
        <f>G97*SuperMarket_Analysis[[#This Row],[Quantity]]</f>
        <v>9716</v>
      </c>
    </row>
    <row r="98" spans="1:19" x14ac:dyDescent="0.25">
      <c r="A98" s="1" t="s">
        <v>131</v>
      </c>
      <c r="B98" s="1" t="s">
        <v>41</v>
      </c>
      <c r="C98" s="1" t="s">
        <v>42</v>
      </c>
      <c r="D98" s="1" t="s">
        <v>20</v>
      </c>
      <c r="E98" s="1" t="s">
        <v>21</v>
      </c>
      <c r="F98" s="1" t="s">
        <v>22</v>
      </c>
      <c r="G98" s="3">
        <v>8787</v>
      </c>
      <c r="H98">
        <v>10</v>
      </c>
      <c r="I98" s="3">
        <v>43935</v>
      </c>
      <c r="J98">
        <v>922635</v>
      </c>
      <c r="K98" t="str">
        <f t="shared" si="1"/>
        <v>março</v>
      </c>
      <c r="L98" s="4">
        <v>43553</v>
      </c>
      <c r="M98" s="2">
        <v>0.43402777777777779</v>
      </c>
      <c r="N98" s="1" t="s">
        <v>23</v>
      </c>
      <c r="O98" s="3">
        <v>8787</v>
      </c>
      <c r="P98">
        <v>4761904762</v>
      </c>
      <c r="Q98" s="3">
        <v>43935</v>
      </c>
      <c r="R98">
        <v>51</v>
      </c>
      <c r="S98" s="3">
        <f>G98*SuperMarket_Analysis[[#This Row],[Quantity]]</f>
        <v>87870</v>
      </c>
    </row>
    <row r="99" spans="1:19" x14ac:dyDescent="0.25">
      <c r="A99" s="1" t="s">
        <v>132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3">
        <v>1245</v>
      </c>
      <c r="H99">
        <v>6</v>
      </c>
      <c r="I99" s="3">
        <v>3735</v>
      </c>
      <c r="J99">
        <v>78435</v>
      </c>
      <c r="K99" t="str">
        <f t="shared" si="1"/>
        <v>fevereiro</v>
      </c>
      <c r="L99" s="4">
        <v>43505</v>
      </c>
      <c r="M99" s="2">
        <v>0.5493055555555556</v>
      </c>
      <c r="N99" s="1" t="s">
        <v>29</v>
      </c>
      <c r="O99" s="3">
        <v>747</v>
      </c>
      <c r="P99">
        <v>4761904762</v>
      </c>
      <c r="Q99" s="3">
        <v>3735</v>
      </c>
      <c r="R99">
        <v>41</v>
      </c>
      <c r="S99" s="3">
        <f>G99*SuperMarket_Analysis[[#This Row],[Quantity]]</f>
        <v>7470</v>
      </c>
    </row>
    <row r="100" spans="1:19" x14ac:dyDescent="0.25">
      <c r="A100" s="1" t="s">
        <v>133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43</v>
      </c>
      <c r="G100" s="3">
        <v>5275</v>
      </c>
      <c r="H100">
        <v>3</v>
      </c>
      <c r="I100" s="3">
        <v>79125</v>
      </c>
      <c r="J100">
        <v>1661625</v>
      </c>
      <c r="K100" t="str">
        <f t="shared" si="1"/>
        <v>março</v>
      </c>
      <c r="L100" s="4">
        <v>43547</v>
      </c>
      <c r="M100" s="2">
        <v>0.42777777777777776</v>
      </c>
      <c r="N100" s="1" t="s">
        <v>23</v>
      </c>
      <c r="O100" s="3">
        <v>15825</v>
      </c>
      <c r="P100">
        <v>4761904762</v>
      </c>
      <c r="Q100" s="3">
        <v>79125</v>
      </c>
      <c r="R100">
        <v>93</v>
      </c>
      <c r="S100" s="3">
        <f>G100*SuperMarket_Analysis[[#This Row],[Quantity]]</f>
        <v>15825</v>
      </c>
    </row>
    <row r="101" spans="1:19" x14ac:dyDescent="0.25">
      <c r="A101" s="1" t="s">
        <v>134</v>
      </c>
      <c r="B101" s="1" t="s">
        <v>41</v>
      </c>
      <c r="C101" s="1" t="s">
        <v>42</v>
      </c>
      <c r="D101" s="1" t="s">
        <v>20</v>
      </c>
      <c r="E101" s="1" t="s">
        <v>21</v>
      </c>
      <c r="F101" s="1" t="s">
        <v>31</v>
      </c>
      <c r="G101" s="3">
        <v>827</v>
      </c>
      <c r="H101">
        <v>6</v>
      </c>
      <c r="I101" s="3">
        <v>2481</v>
      </c>
      <c r="J101">
        <v>52101</v>
      </c>
      <c r="K101" t="str">
        <f t="shared" si="1"/>
        <v>março</v>
      </c>
      <c r="L101" s="4">
        <v>43529</v>
      </c>
      <c r="M101" s="2">
        <v>0.75972222222222219</v>
      </c>
      <c r="N101" s="1" t="s">
        <v>29</v>
      </c>
      <c r="O101" s="3">
        <v>4962</v>
      </c>
      <c r="P101">
        <v>4761904762</v>
      </c>
      <c r="Q101" s="3">
        <v>2481</v>
      </c>
      <c r="R101">
        <v>74</v>
      </c>
      <c r="S101" s="3">
        <f>G101*SuperMarket_Analysis[[#This Row],[Quantity]]</f>
        <v>4962</v>
      </c>
    </row>
    <row r="102" spans="1:19" x14ac:dyDescent="0.25">
      <c r="A102" s="1" t="s">
        <v>135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45</v>
      </c>
      <c r="G102" s="3">
        <v>4871</v>
      </c>
      <c r="H102">
        <v>1</v>
      </c>
      <c r="I102" s="3">
        <v>24355</v>
      </c>
      <c r="J102">
        <v>511455</v>
      </c>
      <c r="K102" t="str">
        <f t="shared" si="1"/>
        <v>março</v>
      </c>
      <c r="L102" s="4">
        <v>43550</v>
      </c>
      <c r="M102" s="2">
        <v>0.80555555555555558</v>
      </c>
      <c r="N102" s="1" t="s">
        <v>29</v>
      </c>
      <c r="O102" s="3">
        <v>4871</v>
      </c>
      <c r="P102">
        <v>4761904762</v>
      </c>
      <c r="Q102" s="3">
        <v>24355</v>
      </c>
      <c r="R102">
        <v>41</v>
      </c>
      <c r="S102" s="3">
        <f>G102*SuperMarket_Analysis[[#This Row],[Quantity]]</f>
        <v>4871</v>
      </c>
    </row>
    <row r="103" spans="1:19" x14ac:dyDescent="0.25">
      <c r="A103" s="1" t="s">
        <v>136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45</v>
      </c>
      <c r="G103" s="3">
        <v>7855</v>
      </c>
      <c r="H103">
        <v>9</v>
      </c>
      <c r="I103" s="3">
        <v>353475</v>
      </c>
      <c r="J103">
        <v>7422975</v>
      </c>
      <c r="K103" t="str">
        <f t="shared" si="1"/>
        <v>março</v>
      </c>
      <c r="L103" s="4">
        <v>43525</v>
      </c>
      <c r="M103" s="2">
        <v>0.55694444444444446</v>
      </c>
      <c r="N103" s="1" t="s">
        <v>29</v>
      </c>
      <c r="O103" s="3">
        <v>70695</v>
      </c>
      <c r="P103">
        <v>4761904762</v>
      </c>
      <c r="Q103" s="3">
        <v>353475</v>
      </c>
      <c r="R103">
        <v>72</v>
      </c>
      <c r="S103" s="3">
        <f>G103*SuperMarket_Analysis[[#This Row],[Quantity]]</f>
        <v>70695</v>
      </c>
    </row>
    <row r="104" spans="1:19" x14ac:dyDescent="0.25">
      <c r="A104" s="1" t="s">
        <v>137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3">
        <v>2307</v>
      </c>
      <c r="H104">
        <v>9</v>
      </c>
      <c r="I104" s="3">
        <v>103815</v>
      </c>
      <c r="J104">
        <v>2180115</v>
      </c>
      <c r="K104" t="str">
        <f t="shared" si="1"/>
        <v>fevereiro</v>
      </c>
      <c r="L104" s="4">
        <v>43497</v>
      </c>
      <c r="M104" s="2">
        <v>0.47708333333333336</v>
      </c>
      <c r="N104" s="1" t="s">
        <v>29</v>
      </c>
      <c r="O104" s="3">
        <v>20763</v>
      </c>
      <c r="P104">
        <v>4761904762</v>
      </c>
      <c r="Q104" s="3">
        <v>103815</v>
      </c>
      <c r="R104">
        <v>49</v>
      </c>
      <c r="S104" s="3">
        <f>G104*SuperMarket_Analysis[[#This Row],[Quantity]]</f>
        <v>20763</v>
      </c>
    </row>
    <row r="105" spans="1:19" x14ac:dyDescent="0.25">
      <c r="A105" s="1" t="s">
        <v>138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43</v>
      </c>
      <c r="G105" s="3">
        <v>5826</v>
      </c>
      <c r="H105">
        <v>6</v>
      </c>
      <c r="I105" s="3">
        <v>17478</v>
      </c>
      <c r="J105">
        <v>367038</v>
      </c>
      <c r="K105" t="str">
        <f t="shared" si="1"/>
        <v>março</v>
      </c>
      <c r="L105" s="4">
        <v>43552</v>
      </c>
      <c r="M105" s="2">
        <v>0.69722222222222219</v>
      </c>
      <c r="N105" s="1" t="s">
        <v>29</v>
      </c>
      <c r="O105" s="3">
        <v>34956</v>
      </c>
      <c r="P105">
        <v>4761904762</v>
      </c>
      <c r="Q105" s="3">
        <v>17478</v>
      </c>
      <c r="R105">
        <v>99</v>
      </c>
      <c r="S105" s="3">
        <f>G105*SuperMarket_Analysis[[#This Row],[Quantity]]</f>
        <v>34956</v>
      </c>
    </row>
    <row r="106" spans="1:19" x14ac:dyDescent="0.25">
      <c r="A106" s="1" t="s">
        <v>139</v>
      </c>
      <c r="B106" s="1" t="s">
        <v>41</v>
      </c>
      <c r="C106" s="1" t="s">
        <v>42</v>
      </c>
      <c r="D106" s="1" t="s">
        <v>20</v>
      </c>
      <c r="E106" s="1" t="s">
        <v>21</v>
      </c>
      <c r="F106" s="1" t="s">
        <v>22</v>
      </c>
      <c r="G106" s="3">
        <v>3035</v>
      </c>
      <c r="H106">
        <v>7</v>
      </c>
      <c r="I106" s="3">
        <v>106225</v>
      </c>
      <c r="J106">
        <v>2230725</v>
      </c>
      <c r="K106" t="str">
        <f t="shared" si="1"/>
        <v>março</v>
      </c>
      <c r="L106" s="4">
        <v>43543</v>
      </c>
      <c r="M106" s="2">
        <v>0.7631944444444444</v>
      </c>
      <c r="N106" s="1" t="s">
        <v>29</v>
      </c>
      <c r="O106" s="3">
        <v>21245</v>
      </c>
      <c r="P106">
        <v>4761904762</v>
      </c>
      <c r="Q106" s="3">
        <v>106225</v>
      </c>
      <c r="R106">
        <v>8</v>
      </c>
      <c r="S106" s="3">
        <f>G106*SuperMarket_Analysis[[#This Row],[Quantity]]</f>
        <v>21245</v>
      </c>
    </row>
    <row r="107" spans="1:19" x14ac:dyDescent="0.25">
      <c r="A107" s="1" t="s">
        <v>140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3">
        <v>8867</v>
      </c>
      <c r="H107">
        <v>10</v>
      </c>
      <c r="I107" s="3">
        <v>44335</v>
      </c>
      <c r="J107">
        <v>931035</v>
      </c>
      <c r="K107" t="str">
        <f t="shared" si="1"/>
        <v>janeiro</v>
      </c>
      <c r="L107" s="4">
        <v>43477</v>
      </c>
      <c r="M107" s="2">
        <v>0.61805555555555558</v>
      </c>
      <c r="N107" s="1" t="s">
        <v>23</v>
      </c>
      <c r="O107" s="3">
        <v>8867</v>
      </c>
      <c r="P107">
        <v>4761904762</v>
      </c>
      <c r="Q107" s="3">
        <v>44335</v>
      </c>
      <c r="R107">
        <v>73</v>
      </c>
      <c r="S107" s="3">
        <f>G107*SuperMarket_Analysis[[#This Row],[Quantity]]</f>
        <v>88670</v>
      </c>
    </row>
    <row r="108" spans="1:19" x14ac:dyDescent="0.25">
      <c r="A108" s="1" t="s">
        <v>141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45</v>
      </c>
      <c r="G108" s="3">
        <v>2738</v>
      </c>
      <c r="H108">
        <v>6</v>
      </c>
      <c r="I108" s="3">
        <v>8214</v>
      </c>
      <c r="J108">
        <v>172494</v>
      </c>
      <c r="K108" t="str">
        <f t="shared" si="1"/>
        <v>janeiro</v>
      </c>
      <c r="L108" s="4">
        <v>43470</v>
      </c>
      <c r="M108" s="2">
        <v>0.87083333333333335</v>
      </c>
      <c r="N108" s="1" t="s">
        <v>32</v>
      </c>
      <c r="O108" s="3">
        <v>16428</v>
      </c>
      <c r="P108">
        <v>4761904762</v>
      </c>
      <c r="Q108" s="3">
        <v>8214</v>
      </c>
      <c r="R108">
        <v>79</v>
      </c>
      <c r="S108" s="3">
        <f>G108*SuperMarket_Analysis[[#This Row],[Quantity]]</f>
        <v>16428</v>
      </c>
    </row>
    <row r="109" spans="1:19" x14ac:dyDescent="0.25">
      <c r="A109" s="1" t="s">
        <v>142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35</v>
      </c>
      <c r="G109" s="3">
        <v>6213</v>
      </c>
      <c r="H109">
        <v>6</v>
      </c>
      <c r="I109" s="3">
        <v>18639</v>
      </c>
      <c r="J109">
        <v>391419</v>
      </c>
      <c r="K109" t="str">
        <f t="shared" si="1"/>
        <v>março</v>
      </c>
      <c r="L109" s="4">
        <v>43546</v>
      </c>
      <c r="M109" s="2">
        <v>0.84652777777777777</v>
      </c>
      <c r="N109" s="1" t="s">
        <v>29</v>
      </c>
      <c r="O109" s="3">
        <v>37278</v>
      </c>
      <c r="P109">
        <v>4761904762</v>
      </c>
      <c r="Q109" s="3">
        <v>18639</v>
      </c>
      <c r="R109">
        <v>74</v>
      </c>
      <c r="S109" s="3">
        <f>G109*SuperMarket_Analysis[[#This Row],[Quantity]]</f>
        <v>37278</v>
      </c>
    </row>
    <row r="110" spans="1:19" x14ac:dyDescent="0.25">
      <c r="A110" s="1" t="s">
        <v>143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43</v>
      </c>
      <c r="G110" s="3">
        <v>3398</v>
      </c>
      <c r="H110">
        <v>9</v>
      </c>
      <c r="I110" s="3">
        <v>15291</v>
      </c>
      <c r="J110">
        <v>321111</v>
      </c>
      <c r="K110" t="str">
        <f t="shared" si="1"/>
        <v>março</v>
      </c>
      <c r="L110" s="4">
        <v>43548</v>
      </c>
      <c r="M110" s="2">
        <v>0.4465277777777778</v>
      </c>
      <c r="N110" s="1" t="s">
        <v>29</v>
      </c>
      <c r="O110" s="3">
        <v>30582</v>
      </c>
      <c r="P110">
        <v>4761904762</v>
      </c>
      <c r="Q110" s="3">
        <v>15291</v>
      </c>
      <c r="R110">
        <v>42</v>
      </c>
      <c r="S110" s="3">
        <f>G110*SuperMarket_Analysis[[#This Row],[Quantity]]</f>
        <v>30582</v>
      </c>
    </row>
    <row r="111" spans="1:19" x14ac:dyDescent="0.25">
      <c r="A111" s="1" t="s">
        <v>144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3">
        <v>8197</v>
      </c>
      <c r="H111">
        <v>10</v>
      </c>
      <c r="I111" s="3">
        <v>40985</v>
      </c>
      <c r="J111">
        <v>860685</v>
      </c>
      <c r="K111" t="str">
        <f t="shared" si="1"/>
        <v>março</v>
      </c>
      <c r="L111" s="4">
        <v>43527</v>
      </c>
      <c r="M111" s="2">
        <v>0.60416666666666663</v>
      </c>
      <c r="N111" s="1" t="s">
        <v>29</v>
      </c>
      <c r="O111" s="3">
        <v>8197</v>
      </c>
      <c r="P111">
        <v>4761904762</v>
      </c>
      <c r="Q111" s="3">
        <v>40985</v>
      </c>
      <c r="R111">
        <v>92</v>
      </c>
      <c r="S111" s="3">
        <f>G111*SuperMarket_Analysis[[#This Row],[Quantity]]</f>
        <v>81970</v>
      </c>
    </row>
    <row r="112" spans="1:19" x14ac:dyDescent="0.25">
      <c r="A112" s="1" t="s">
        <v>145</v>
      </c>
      <c r="B112" s="1" t="s">
        <v>41</v>
      </c>
      <c r="C112" s="1" t="s">
        <v>42</v>
      </c>
      <c r="D112" s="1" t="s">
        <v>20</v>
      </c>
      <c r="E112" s="1" t="s">
        <v>21</v>
      </c>
      <c r="F112" s="1" t="s">
        <v>35</v>
      </c>
      <c r="G112" s="3">
        <v>1649</v>
      </c>
      <c r="H112">
        <v>2</v>
      </c>
      <c r="I112" s="3">
        <v>1649</v>
      </c>
      <c r="J112">
        <v>34629</v>
      </c>
      <c r="K112" t="str">
        <f t="shared" si="1"/>
        <v>fevereiro</v>
      </c>
      <c r="L112" s="4">
        <v>43501</v>
      </c>
      <c r="M112" s="2">
        <v>0.48055555555555557</v>
      </c>
      <c r="N112" s="1" t="s">
        <v>23</v>
      </c>
      <c r="O112" s="3">
        <v>3298</v>
      </c>
      <c r="P112">
        <v>4761904762</v>
      </c>
      <c r="Q112" s="3">
        <v>1649</v>
      </c>
      <c r="R112">
        <v>46</v>
      </c>
      <c r="S112" s="3">
        <f>G112*SuperMarket_Analysis[[#This Row],[Quantity]]</f>
        <v>3298</v>
      </c>
    </row>
    <row r="113" spans="1:19" x14ac:dyDescent="0.25">
      <c r="A113" s="1" t="s">
        <v>146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3">
        <v>9821</v>
      </c>
      <c r="H113">
        <v>3</v>
      </c>
      <c r="I113" s="3">
        <v>147315</v>
      </c>
      <c r="J113">
        <v>3093615</v>
      </c>
      <c r="K113" t="str">
        <f t="shared" si="1"/>
        <v>fevereiro</v>
      </c>
      <c r="L113" s="4">
        <v>43501</v>
      </c>
      <c r="M113" s="2">
        <v>0.44513888888888886</v>
      </c>
      <c r="N113" s="1" t="s">
        <v>32</v>
      </c>
      <c r="O113" s="3">
        <v>29463</v>
      </c>
      <c r="P113">
        <v>4761904762</v>
      </c>
      <c r="Q113" s="3">
        <v>147315</v>
      </c>
      <c r="R113">
        <v>78</v>
      </c>
      <c r="S113" s="3">
        <f>G113*SuperMarket_Analysis[[#This Row],[Quantity]]</f>
        <v>29463</v>
      </c>
    </row>
    <row r="114" spans="1:19" x14ac:dyDescent="0.25">
      <c r="A114" s="1" t="s">
        <v>147</v>
      </c>
      <c r="B114" s="1" t="s">
        <v>41</v>
      </c>
      <c r="C114" s="1" t="s">
        <v>42</v>
      </c>
      <c r="D114" s="1" t="s">
        <v>20</v>
      </c>
      <c r="E114" s="1" t="s">
        <v>21</v>
      </c>
      <c r="F114" s="1" t="s">
        <v>45</v>
      </c>
      <c r="G114" s="3">
        <v>7284</v>
      </c>
      <c r="H114">
        <v>7</v>
      </c>
      <c r="I114" s="3">
        <v>25494</v>
      </c>
      <c r="J114">
        <v>535374</v>
      </c>
      <c r="K114" t="str">
        <f t="shared" si="1"/>
        <v>fevereiro</v>
      </c>
      <c r="L114" s="4">
        <v>43511</v>
      </c>
      <c r="M114" s="2">
        <v>0.53055555555555556</v>
      </c>
      <c r="N114" s="1" t="s">
        <v>29</v>
      </c>
      <c r="O114" s="3">
        <v>50988</v>
      </c>
      <c r="P114">
        <v>4761904762</v>
      </c>
      <c r="Q114" s="3">
        <v>25494</v>
      </c>
      <c r="R114">
        <v>84</v>
      </c>
      <c r="S114" s="3">
        <f>G114*SuperMarket_Analysis[[#This Row],[Quantity]]</f>
        <v>50988</v>
      </c>
    </row>
    <row r="115" spans="1:19" x14ac:dyDescent="0.25">
      <c r="A115" s="1" t="s">
        <v>148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3">
        <v>5807</v>
      </c>
      <c r="H115">
        <v>9</v>
      </c>
      <c r="I115" s="3">
        <v>261315</v>
      </c>
      <c r="J115">
        <v>5487615</v>
      </c>
      <c r="K115" t="str">
        <f t="shared" si="1"/>
        <v>janeiro</v>
      </c>
      <c r="L115" s="4">
        <v>43484</v>
      </c>
      <c r="M115" s="2">
        <v>0.83819444444444446</v>
      </c>
      <c r="N115" s="1" t="s">
        <v>23</v>
      </c>
      <c r="O115" s="3">
        <v>52263</v>
      </c>
      <c r="P115">
        <v>4761904762</v>
      </c>
      <c r="Q115" s="3">
        <v>261315</v>
      </c>
      <c r="R115">
        <v>43</v>
      </c>
      <c r="S115" s="3">
        <f>G115*SuperMarket_Analysis[[#This Row],[Quantity]]</f>
        <v>52263</v>
      </c>
    </row>
    <row r="116" spans="1:19" x14ac:dyDescent="0.25">
      <c r="A116" s="1" t="s">
        <v>149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3">
        <v>8079</v>
      </c>
      <c r="H116">
        <v>9</v>
      </c>
      <c r="I116" s="3">
        <v>363555</v>
      </c>
      <c r="J116">
        <v>7634655</v>
      </c>
      <c r="K116" t="str">
        <f t="shared" si="1"/>
        <v>fevereiro</v>
      </c>
      <c r="L116" s="4">
        <v>43497</v>
      </c>
      <c r="M116" s="2">
        <v>0.85486111111111107</v>
      </c>
      <c r="N116" s="1" t="s">
        <v>32</v>
      </c>
      <c r="O116" s="3">
        <v>72711</v>
      </c>
      <c r="P116">
        <v>4761904762</v>
      </c>
      <c r="Q116" s="3">
        <v>363555</v>
      </c>
      <c r="R116">
        <v>95</v>
      </c>
      <c r="S116" s="3">
        <f>G116*SuperMarket_Analysis[[#This Row],[Quantity]]</f>
        <v>72711</v>
      </c>
    </row>
    <row r="117" spans="1:19" x14ac:dyDescent="0.25">
      <c r="A117" s="1" t="s">
        <v>150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45</v>
      </c>
      <c r="G117" s="3">
        <v>2702</v>
      </c>
      <c r="H117">
        <v>3</v>
      </c>
      <c r="I117" s="3">
        <v>4053</v>
      </c>
      <c r="J117">
        <v>85113</v>
      </c>
      <c r="K117" t="str">
        <f t="shared" si="1"/>
        <v>março</v>
      </c>
      <c r="L117" s="4">
        <v>43526</v>
      </c>
      <c r="M117" s="2">
        <v>0.54236111111111107</v>
      </c>
      <c r="N117" s="1" t="s">
        <v>32</v>
      </c>
      <c r="O117" s="3">
        <v>8106</v>
      </c>
      <c r="P117">
        <v>4761904762</v>
      </c>
      <c r="Q117" s="3">
        <v>4053</v>
      </c>
      <c r="R117">
        <v>71</v>
      </c>
      <c r="S117" s="3">
        <f>G117*SuperMarket_Analysis[[#This Row],[Quantity]]</f>
        <v>8106</v>
      </c>
    </row>
    <row r="118" spans="1:19" x14ac:dyDescent="0.25">
      <c r="A118" s="1" t="s">
        <v>151</v>
      </c>
      <c r="B118" s="1" t="s">
        <v>41</v>
      </c>
      <c r="C118" s="1" t="s">
        <v>42</v>
      </c>
      <c r="D118" s="1" t="s">
        <v>20</v>
      </c>
      <c r="E118" s="1" t="s">
        <v>21</v>
      </c>
      <c r="F118" s="1" t="s">
        <v>45</v>
      </c>
      <c r="G118" s="3">
        <v>2194</v>
      </c>
      <c r="H118">
        <v>5</v>
      </c>
      <c r="I118" s="3">
        <v>5485</v>
      </c>
      <c r="J118">
        <v>115185</v>
      </c>
      <c r="K118" t="str">
        <f t="shared" si="1"/>
        <v>março</v>
      </c>
      <c r="L118" s="4">
        <v>43529</v>
      </c>
      <c r="M118" s="2">
        <v>0.52013888888888893</v>
      </c>
      <c r="N118" s="1" t="s">
        <v>23</v>
      </c>
      <c r="O118" s="3">
        <v>1097</v>
      </c>
      <c r="P118">
        <v>4761904762</v>
      </c>
      <c r="Q118" s="3">
        <v>5485</v>
      </c>
      <c r="R118">
        <v>53</v>
      </c>
      <c r="S118" s="3">
        <f>G118*SuperMarket_Analysis[[#This Row],[Quantity]]</f>
        <v>10970</v>
      </c>
    </row>
    <row r="119" spans="1:19" x14ac:dyDescent="0.25">
      <c r="A119" s="1" t="s">
        <v>152</v>
      </c>
      <c r="B119" s="1" t="s">
        <v>41</v>
      </c>
      <c r="C119" s="1" t="s">
        <v>42</v>
      </c>
      <c r="D119" s="1" t="s">
        <v>20</v>
      </c>
      <c r="E119" s="1" t="s">
        <v>21</v>
      </c>
      <c r="F119" s="1" t="s">
        <v>45</v>
      </c>
      <c r="G119" s="3">
        <v>5136</v>
      </c>
      <c r="H119">
        <v>1</v>
      </c>
      <c r="I119" s="3">
        <v>2568</v>
      </c>
      <c r="J119">
        <v>53928</v>
      </c>
      <c r="K119" t="str">
        <f t="shared" si="1"/>
        <v>janeiro</v>
      </c>
      <c r="L119" s="4">
        <v>43481</v>
      </c>
      <c r="M119" s="2">
        <v>0.6430555555555556</v>
      </c>
      <c r="N119" s="1" t="s">
        <v>23</v>
      </c>
      <c r="O119" s="3">
        <v>5136</v>
      </c>
      <c r="P119">
        <v>4761904762</v>
      </c>
      <c r="Q119" s="3">
        <v>2568</v>
      </c>
      <c r="R119">
        <v>52</v>
      </c>
      <c r="S119" s="3">
        <f>G119*SuperMarket_Analysis[[#This Row],[Quantity]]</f>
        <v>5136</v>
      </c>
    </row>
    <row r="120" spans="1:19" x14ac:dyDescent="0.25">
      <c r="A120" s="1" t="s">
        <v>153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43</v>
      </c>
      <c r="G120" s="3">
        <v>1096</v>
      </c>
      <c r="H120">
        <v>10</v>
      </c>
      <c r="I120" s="3">
        <v>548</v>
      </c>
      <c r="J120">
        <v>11508</v>
      </c>
      <c r="K120" t="str">
        <f t="shared" si="1"/>
        <v>fevereiro</v>
      </c>
      <c r="L120" s="4">
        <v>43498</v>
      </c>
      <c r="M120" s="2">
        <v>0.8666666666666667</v>
      </c>
      <c r="N120" s="1" t="s">
        <v>23</v>
      </c>
      <c r="O120" s="3">
        <v>1096</v>
      </c>
      <c r="P120">
        <v>4761904762</v>
      </c>
      <c r="Q120" s="3">
        <v>548</v>
      </c>
      <c r="R120">
        <v>6</v>
      </c>
      <c r="S120" s="3">
        <f>G120*SuperMarket_Analysis[[#This Row],[Quantity]]</f>
        <v>10960</v>
      </c>
    </row>
    <row r="121" spans="1:19" x14ac:dyDescent="0.25">
      <c r="A121" s="1" t="s">
        <v>154</v>
      </c>
      <c r="B121" s="1" t="s">
        <v>41</v>
      </c>
      <c r="C121" s="1" t="s">
        <v>42</v>
      </c>
      <c r="D121" s="1" t="s">
        <v>20</v>
      </c>
      <c r="E121" s="1" t="s">
        <v>21</v>
      </c>
      <c r="F121" s="1" t="s">
        <v>31</v>
      </c>
      <c r="G121" s="3">
        <v>5344</v>
      </c>
      <c r="H121">
        <v>2</v>
      </c>
      <c r="I121" s="3">
        <v>5344</v>
      </c>
      <c r="J121">
        <v>112224</v>
      </c>
      <c r="K121" t="str">
        <f t="shared" si="1"/>
        <v>janeiro</v>
      </c>
      <c r="L121" s="4">
        <v>43485</v>
      </c>
      <c r="M121" s="2">
        <v>0.85972222222222228</v>
      </c>
      <c r="N121" s="1" t="s">
        <v>23</v>
      </c>
      <c r="O121" s="3">
        <v>10688</v>
      </c>
      <c r="P121">
        <v>4761904762</v>
      </c>
      <c r="Q121" s="3">
        <v>5344</v>
      </c>
      <c r="R121">
        <v>41</v>
      </c>
      <c r="S121" s="3">
        <f>G121*SuperMarket_Analysis[[#This Row],[Quantity]]</f>
        <v>10688</v>
      </c>
    </row>
    <row r="122" spans="1:19" x14ac:dyDescent="0.25">
      <c r="A122" s="1" t="s">
        <v>155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3">
        <v>9956</v>
      </c>
      <c r="H122">
        <v>8</v>
      </c>
      <c r="I122" s="3">
        <v>39824</v>
      </c>
      <c r="J122">
        <v>836304</v>
      </c>
      <c r="K122" t="str">
        <f t="shared" si="1"/>
        <v>fevereiro</v>
      </c>
      <c r="L122" s="4">
        <v>43510</v>
      </c>
      <c r="M122" s="2">
        <v>0.7104166666666667</v>
      </c>
      <c r="N122" s="1" t="s">
        <v>32</v>
      </c>
      <c r="O122" s="3">
        <v>79648</v>
      </c>
      <c r="P122">
        <v>4761904762</v>
      </c>
      <c r="Q122" s="3">
        <v>39824</v>
      </c>
      <c r="R122">
        <v>52</v>
      </c>
      <c r="S122" s="3">
        <f>G122*SuperMarket_Analysis[[#This Row],[Quantity]]</f>
        <v>79648</v>
      </c>
    </row>
    <row r="123" spans="1:19" x14ac:dyDescent="0.25">
      <c r="A123" s="1" t="s">
        <v>156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35</v>
      </c>
      <c r="G123" s="3">
        <v>5712</v>
      </c>
      <c r="H123">
        <v>7</v>
      </c>
      <c r="I123" s="3">
        <v>19992</v>
      </c>
      <c r="J123">
        <v>419832</v>
      </c>
      <c r="K123" t="str">
        <f t="shared" si="1"/>
        <v>janeiro</v>
      </c>
      <c r="L123" s="4">
        <v>43477</v>
      </c>
      <c r="M123" s="2">
        <v>0.50138888888888888</v>
      </c>
      <c r="N123" s="1" t="s">
        <v>32</v>
      </c>
      <c r="O123" s="3">
        <v>39984</v>
      </c>
      <c r="P123">
        <v>4761904762</v>
      </c>
      <c r="Q123" s="3">
        <v>19992</v>
      </c>
      <c r="R123">
        <v>65</v>
      </c>
      <c r="S123" s="3">
        <f>G123*SuperMarket_Analysis[[#This Row],[Quantity]]</f>
        <v>39984</v>
      </c>
    </row>
    <row r="124" spans="1:19" x14ac:dyDescent="0.25">
      <c r="A124" s="1" t="s">
        <v>157</v>
      </c>
      <c r="B124" s="1" t="s">
        <v>41</v>
      </c>
      <c r="C124" s="1" t="s">
        <v>42</v>
      </c>
      <c r="D124" s="1" t="s">
        <v>20</v>
      </c>
      <c r="E124" s="1" t="s">
        <v>21</v>
      </c>
      <c r="F124" s="1" t="s">
        <v>35</v>
      </c>
      <c r="G124" s="3">
        <v>9996</v>
      </c>
      <c r="H124">
        <v>9</v>
      </c>
      <c r="I124" s="3">
        <v>44982</v>
      </c>
      <c r="J124">
        <v>944622</v>
      </c>
      <c r="K124" t="str">
        <f t="shared" si="1"/>
        <v>março</v>
      </c>
      <c r="L124" s="4">
        <v>43533</v>
      </c>
      <c r="M124" s="2">
        <v>0.72638888888888886</v>
      </c>
      <c r="N124" s="1" t="s">
        <v>32</v>
      </c>
      <c r="O124" s="3">
        <v>89964</v>
      </c>
      <c r="P124">
        <v>4761904762</v>
      </c>
      <c r="Q124" s="3">
        <v>44982</v>
      </c>
      <c r="R124">
        <v>42</v>
      </c>
      <c r="S124" s="3">
        <f>G124*SuperMarket_Analysis[[#This Row],[Quantity]]</f>
        <v>89964</v>
      </c>
    </row>
    <row r="125" spans="1:19" x14ac:dyDescent="0.25">
      <c r="A125" s="1" t="s">
        <v>158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3">
        <v>6391</v>
      </c>
      <c r="H125">
        <v>8</v>
      </c>
      <c r="I125" s="3">
        <v>25564</v>
      </c>
      <c r="J125">
        <v>536844</v>
      </c>
      <c r="K125" t="str">
        <f t="shared" si="1"/>
        <v>março</v>
      </c>
      <c r="L125" s="4">
        <v>43537</v>
      </c>
      <c r="M125" s="2">
        <v>0.82777777777777772</v>
      </c>
      <c r="N125" s="1" t="s">
        <v>32</v>
      </c>
      <c r="O125" s="3">
        <v>51128</v>
      </c>
      <c r="P125">
        <v>4761904762</v>
      </c>
      <c r="Q125" s="3">
        <v>25564</v>
      </c>
      <c r="R125">
        <v>46</v>
      </c>
      <c r="S125" s="3">
        <f>G125*SuperMarket_Analysis[[#This Row],[Quantity]]</f>
        <v>51128</v>
      </c>
    </row>
    <row r="126" spans="1:19" x14ac:dyDescent="0.25">
      <c r="A126" s="1" t="s">
        <v>159</v>
      </c>
      <c r="B126" s="1" t="s">
        <v>41</v>
      </c>
      <c r="C126" s="1" t="s">
        <v>42</v>
      </c>
      <c r="D126" s="1" t="s">
        <v>20</v>
      </c>
      <c r="E126" s="1" t="s">
        <v>21</v>
      </c>
      <c r="F126" s="1" t="s">
        <v>45</v>
      </c>
      <c r="G126" s="3">
        <v>5647</v>
      </c>
      <c r="H126">
        <v>8</v>
      </c>
      <c r="I126" s="3">
        <v>22588</v>
      </c>
      <c r="J126">
        <v>474348</v>
      </c>
      <c r="K126" t="str">
        <f t="shared" si="1"/>
        <v>março</v>
      </c>
      <c r="L126" s="4">
        <v>43533</v>
      </c>
      <c r="M126" s="2">
        <v>0.62291666666666667</v>
      </c>
      <c r="N126" s="1" t="s">
        <v>23</v>
      </c>
      <c r="O126" s="3">
        <v>45176</v>
      </c>
      <c r="P126">
        <v>4761904762</v>
      </c>
      <c r="Q126" s="3">
        <v>22588</v>
      </c>
      <c r="R126">
        <v>73</v>
      </c>
      <c r="S126" s="3">
        <f>G126*SuperMarket_Analysis[[#This Row],[Quantity]]</f>
        <v>45176</v>
      </c>
    </row>
    <row r="127" spans="1:19" x14ac:dyDescent="0.25">
      <c r="A127" s="1" t="s">
        <v>160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3">
        <v>9369</v>
      </c>
      <c r="H127">
        <v>7</v>
      </c>
      <c r="I127" s="3">
        <v>327915</v>
      </c>
      <c r="J127">
        <v>6886215</v>
      </c>
      <c r="K127" t="str">
        <f t="shared" si="1"/>
        <v>março</v>
      </c>
      <c r="L127" s="4">
        <v>43534</v>
      </c>
      <c r="M127" s="2">
        <v>0.78055555555555556</v>
      </c>
      <c r="N127" s="1" t="s">
        <v>32</v>
      </c>
      <c r="O127" s="3">
        <v>65583</v>
      </c>
      <c r="P127">
        <v>4761904762</v>
      </c>
      <c r="Q127" s="3">
        <v>327915</v>
      </c>
      <c r="R127">
        <v>45</v>
      </c>
      <c r="S127" s="3">
        <f>G127*SuperMarket_Analysis[[#This Row],[Quantity]]</f>
        <v>65583</v>
      </c>
    </row>
    <row r="128" spans="1:19" x14ac:dyDescent="0.25">
      <c r="A128" s="1" t="s">
        <v>161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35</v>
      </c>
      <c r="G128" s="3">
        <v>3225</v>
      </c>
      <c r="H128">
        <v>5</v>
      </c>
      <c r="I128" s="3">
        <v>80625</v>
      </c>
      <c r="J128">
        <v>1693125</v>
      </c>
      <c r="K128" t="str">
        <f t="shared" si="1"/>
        <v>janeiro</v>
      </c>
      <c r="L128" s="4">
        <v>43492</v>
      </c>
      <c r="M128" s="2">
        <v>0.55972222222222223</v>
      </c>
      <c r="N128" s="1" t="s">
        <v>29</v>
      </c>
      <c r="O128" s="3">
        <v>16125</v>
      </c>
      <c r="P128">
        <v>4761904762</v>
      </c>
      <c r="Q128" s="3">
        <v>80625</v>
      </c>
      <c r="R128">
        <v>9</v>
      </c>
      <c r="S128" s="3">
        <f>G128*SuperMarket_Analysis[[#This Row],[Quantity]]</f>
        <v>16125</v>
      </c>
    </row>
    <row r="129" spans="1:19" x14ac:dyDescent="0.25">
      <c r="A129" s="1" t="s">
        <v>162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45</v>
      </c>
      <c r="G129" s="3">
        <v>3173</v>
      </c>
      <c r="H129">
        <v>9</v>
      </c>
      <c r="I129" s="3">
        <v>142785</v>
      </c>
      <c r="J129">
        <v>2998485</v>
      </c>
      <c r="K129" t="str">
        <f t="shared" si="1"/>
        <v>janeiro</v>
      </c>
      <c r="L129" s="4">
        <v>43473</v>
      </c>
      <c r="M129" s="2">
        <v>0.67847222222222225</v>
      </c>
      <c r="N129" s="1" t="s">
        <v>32</v>
      </c>
      <c r="O129" s="3">
        <v>28557</v>
      </c>
      <c r="P129">
        <v>4761904762</v>
      </c>
      <c r="Q129" s="3">
        <v>142785</v>
      </c>
      <c r="R129">
        <v>59</v>
      </c>
      <c r="S129" s="3">
        <f>G129*SuperMarket_Analysis[[#This Row],[Quantity]]</f>
        <v>28557</v>
      </c>
    </row>
    <row r="130" spans="1:19" x14ac:dyDescent="0.25">
      <c r="A130" s="1" t="s">
        <v>163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43</v>
      </c>
      <c r="G130" s="3">
        <v>6854</v>
      </c>
      <c r="H130">
        <v>8</v>
      </c>
      <c r="I130" s="3">
        <v>27416</v>
      </c>
      <c r="J130">
        <v>575736</v>
      </c>
      <c r="K130" t="str">
        <f t="shared" ref="K130:K193" si="2">TEXT(L130, "mmmm")</f>
        <v>janeiro</v>
      </c>
      <c r="L130" s="4">
        <v>43473</v>
      </c>
      <c r="M130" s="2">
        <v>0.6645833333333333</v>
      </c>
      <c r="N130" s="1" t="s">
        <v>23</v>
      </c>
      <c r="O130" s="3">
        <v>54832</v>
      </c>
      <c r="P130">
        <v>4761904762</v>
      </c>
      <c r="Q130" s="3">
        <v>27416</v>
      </c>
      <c r="R130">
        <v>85</v>
      </c>
      <c r="S130" s="3">
        <f>G130*SuperMarket_Analysis[[#This Row],[Quantity]]</f>
        <v>54832</v>
      </c>
    </row>
    <row r="131" spans="1:19" x14ac:dyDescent="0.25">
      <c r="A131" s="1" t="s">
        <v>164</v>
      </c>
      <c r="B131" s="1" t="s">
        <v>41</v>
      </c>
      <c r="C131" s="1" t="s">
        <v>42</v>
      </c>
      <c r="D131" s="1" t="s">
        <v>20</v>
      </c>
      <c r="E131" s="1" t="s">
        <v>21</v>
      </c>
      <c r="F131" s="1" t="s">
        <v>35</v>
      </c>
      <c r="G131" s="3">
        <v>9028</v>
      </c>
      <c r="H131">
        <v>9</v>
      </c>
      <c r="I131" s="3">
        <v>40626</v>
      </c>
      <c r="J131">
        <v>853146</v>
      </c>
      <c r="K131" t="str">
        <f t="shared" si="2"/>
        <v>fevereiro</v>
      </c>
      <c r="L131" s="4">
        <v>43504</v>
      </c>
      <c r="M131" s="2">
        <v>0.46875</v>
      </c>
      <c r="N131" s="1" t="s">
        <v>23</v>
      </c>
      <c r="O131" s="3">
        <v>81252</v>
      </c>
      <c r="P131">
        <v>4761904762</v>
      </c>
      <c r="Q131" s="3">
        <v>40626</v>
      </c>
      <c r="R131">
        <v>72</v>
      </c>
      <c r="S131" s="3">
        <f>G131*SuperMarket_Analysis[[#This Row],[Quantity]]</f>
        <v>81252</v>
      </c>
    </row>
    <row r="132" spans="1:19" x14ac:dyDescent="0.25">
      <c r="A132" s="1" t="s">
        <v>165</v>
      </c>
      <c r="B132" s="1" t="s">
        <v>41</v>
      </c>
      <c r="C132" s="1" t="s">
        <v>42</v>
      </c>
      <c r="D132" s="1" t="s">
        <v>27</v>
      </c>
      <c r="E132" s="1" t="s">
        <v>21</v>
      </c>
      <c r="F132" s="1" t="s">
        <v>45</v>
      </c>
      <c r="G132" s="3">
        <v>3962</v>
      </c>
      <c r="H132">
        <v>7</v>
      </c>
      <c r="I132" s="3">
        <v>13867</v>
      </c>
      <c r="J132">
        <v>291207</v>
      </c>
      <c r="K132" t="str">
        <f t="shared" si="2"/>
        <v>janeiro</v>
      </c>
      <c r="L132" s="4">
        <v>43490</v>
      </c>
      <c r="M132" s="2">
        <v>0.5541666666666667</v>
      </c>
      <c r="N132" s="1" t="s">
        <v>29</v>
      </c>
      <c r="O132" s="3">
        <v>27734</v>
      </c>
      <c r="P132">
        <v>4761904762</v>
      </c>
      <c r="Q132" s="3">
        <v>13867</v>
      </c>
      <c r="R132">
        <v>75</v>
      </c>
      <c r="S132" s="3">
        <f>G132*SuperMarket_Analysis[[#This Row],[Quantity]]</f>
        <v>27734</v>
      </c>
    </row>
    <row r="133" spans="1:19" x14ac:dyDescent="0.25">
      <c r="A133" s="1" t="s">
        <v>166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35</v>
      </c>
      <c r="G133" s="3">
        <v>9213</v>
      </c>
      <c r="H133">
        <v>6</v>
      </c>
      <c r="I133" s="3">
        <v>27639</v>
      </c>
      <c r="J133">
        <v>580419</v>
      </c>
      <c r="K133" t="str">
        <f t="shared" si="2"/>
        <v>março</v>
      </c>
      <c r="L133" s="4">
        <v>43530</v>
      </c>
      <c r="M133" s="2">
        <v>0.8569444444444444</v>
      </c>
      <c r="N133" s="1" t="s">
        <v>29</v>
      </c>
      <c r="O133" s="3">
        <v>55278</v>
      </c>
      <c r="P133">
        <v>4761904762</v>
      </c>
      <c r="Q133" s="3">
        <v>27639</v>
      </c>
      <c r="R133">
        <v>83</v>
      </c>
      <c r="S133" s="3">
        <f>G133*SuperMarket_Analysis[[#This Row],[Quantity]]</f>
        <v>55278</v>
      </c>
    </row>
    <row r="134" spans="1:19" x14ac:dyDescent="0.25">
      <c r="A134" s="1" t="s">
        <v>167</v>
      </c>
      <c r="B134" s="1" t="s">
        <v>41</v>
      </c>
      <c r="C134" s="1" t="s">
        <v>42</v>
      </c>
      <c r="D134" s="1" t="s">
        <v>27</v>
      </c>
      <c r="E134" s="1" t="s">
        <v>21</v>
      </c>
      <c r="F134" s="1" t="s">
        <v>35</v>
      </c>
      <c r="G134" s="3">
        <v>3484</v>
      </c>
      <c r="H134">
        <v>4</v>
      </c>
      <c r="I134" s="3">
        <v>6968</v>
      </c>
      <c r="J134">
        <v>146328</v>
      </c>
      <c r="K134" t="str">
        <f t="shared" si="2"/>
        <v>fevereiro</v>
      </c>
      <c r="L134" s="4">
        <v>43506</v>
      </c>
      <c r="M134" s="2">
        <v>0.77500000000000002</v>
      </c>
      <c r="N134" s="1" t="s">
        <v>29</v>
      </c>
      <c r="O134" s="3">
        <v>13936</v>
      </c>
      <c r="P134">
        <v>4761904762</v>
      </c>
      <c r="Q134" s="3">
        <v>6968</v>
      </c>
      <c r="R134">
        <v>74</v>
      </c>
      <c r="S134" s="3">
        <f>G134*SuperMarket_Analysis[[#This Row],[Quantity]]</f>
        <v>13936</v>
      </c>
    </row>
    <row r="135" spans="1:19" x14ac:dyDescent="0.25">
      <c r="A135" s="1" t="s">
        <v>168</v>
      </c>
      <c r="B135" s="1" t="s">
        <v>41</v>
      </c>
      <c r="C135" s="1" t="s">
        <v>42</v>
      </c>
      <c r="D135" s="1" t="s">
        <v>20</v>
      </c>
      <c r="E135" s="1" t="s">
        <v>21</v>
      </c>
      <c r="F135" s="1" t="s">
        <v>28</v>
      </c>
      <c r="G135" s="3">
        <v>8745</v>
      </c>
      <c r="H135">
        <v>6</v>
      </c>
      <c r="I135" s="3">
        <v>26235</v>
      </c>
      <c r="J135">
        <v>550935</v>
      </c>
      <c r="K135" t="str">
        <f t="shared" si="2"/>
        <v>fevereiro</v>
      </c>
      <c r="L135" s="4">
        <v>43513</v>
      </c>
      <c r="M135" s="2">
        <v>0.61111111111111116</v>
      </c>
      <c r="N135" s="1" t="s">
        <v>32</v>
      </c>
      <c r="O135" s="3">
        <v>5247</v>
      </c>
      <c r="P135">
        <v>4761904762</v>
      </c>
      <c r="Q135" s="3">
        <v>26235</v>
      </c>
      <c r="R135">
        <v>88</v>
      </c>
      <c r="S135" s="3">
        <f>G135*SuperMarket_Analysis[[#This Row],[Quantity]]</f>
        <v>52470</v>
      </c>
    </row>
    <row r="136" spans="1:19" x14ac:dyDescent="0.25">
      <c r="A136" s="1" t="s">
        <v>169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3">
        <v>813</v>
      </c>
      <c r="H136">
        <v>6</v>
      </c>
      <c r="I136" s="3">
        <v>2439</v>
      </c>
      <c r="J136">
        <v>51219</v>
      </c>
      <c r="K136" t="str">
        <f t="shared" si="2"/>
        <v>março</v>
      </c>
      <c r="L136" s="4">
        <v>43532</v>
      </c>
      <c r="M136" s="2">
        <v>0.69652777777777775</v>
      </c>
      <c r="N136" s="1" t="s">
        <v>23</v>
      </c>
      <c r="O136" s="3">
        <v>4878</v>
      </c>
      <c r="P136">
        <v>4761904762</v>
      </c>
      <c r="Q136" s="3">
        <v>2439</v>
      </c>
      <c r="R136">
        <v>53</v>
      </c>
      <c r="S136" s="3">
        <f>G136*SuperMarket_Analysis[[#This Row],[Quantity]]</f>
        <v>4878</v>
      </c>
    </row>
    <row r="137" spans="1:19" x14ac:dyDescent="0.25">
      <c r="A137" s="1" t="s">
        <v>170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45</v>
      </c>
      <c r="G137" s="3">
        <v>9022</v>
      </c>
      <c r="H137">
        <v>3</v>
      </c>
      <c r="I137" s="3">
        <v>13533</v>
      </c>
      <c r="J137">
        <v>284193</v>
      </c>
      <c r="K137" t="str">
        <f t="shared" si="2"/>
        <v>fevereiro</v>
      </c>
      <c r="L137" s="4">
        <v>43514</v>
      </c>
      <c r="M137" s="2">
        <v>0.81874999999999998</v>
      </c>
      <c r="N137" s="1" t="s">
        <v>29</v>
      </c>
      <c r="O137" s="3">
        <v>27066</v>
      </c>
      <c r="P137">
        <v>4761904762</v>
      </c>
      <c r="Q137" s="3">
        <v>13533</v>
      </c>
      <c r="R137">
        <v>62</v>
      </c>
      <c r="S137" s="3">
        <f>G137*SuperMarket_Analysis[[#This Row],[Quantity]]</f>
        <v>27066</v>
      </c>
    </row>
    <row r="138" spans="1:19" x14ac:dyDescent="0.25">
      <c r="A138" s="1" t="s">
        <v>171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3">
        <v>2631</v>
      </c>
      <c r="H138">
        <v>5</v>
      </c>
      <c r="I138" s="3">
        <v>65775</v>
      </c>
      <c r="J138">
        <v>1381275</v>
      </c>
      <c r="K138" t="str">
        <f t="shared" si="2"/>
        <v>janeiro</v>
      </c>
      <c r="L138" s="4">
        <v>43483</v>
      </c>
      <c r="M138" s="2">
        <v>0.87430555555555556</v>
      </c>
      <c r="N138" s="1" t="s">
        <v>32</v>
      </c>
      <c r="O138" s="3">
        <v>13155</v>
      </c>
      <c r="P138">
        <v>4761904762</v>
      </c>
      <c r="Q138" s="3">
        <v>65775</v>
      </c>
      <c r="R138">
        <v>88</v>
      </c>
      <c r="S138" s="3">
        <f>G138*SuperMarket_Analysis[[#This Row],[Quantity]]</f>
        <v>13155</v>
      </c>
    </row>
    <row r="139" spans="1:19" x14ac:dyDescent="0.25">
      <c r="A139" s="1" t="s">
        <v>172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3">
        <v>3442</v>
      </c>
      <c r="H139">
        <v>6</v>
      </c>
      <c r="I139" s="3">
        <v>10326</v>
      </c>
      <c r="J139">
        <v>216846</v>
      </c>
      <c r="K139" t="str">
        <f t="shared" si="2"/>
        <v>fevereiro</v>
      </c>
      <c r="L139" s="4">
        <v>43514</v>
      </c>
      <c r="M139" s="2">
        <v>0.65208333333333335</v>
      </c>
      <c r="N139" s="1" t="s">
        <v>29</v>
      </c>
      <c r="O139" s="3">
        <v>20652</v>
      </c>
      <c r="P139">
        <v>4761904762</v>
      </c>
      <c r="Q139" s="3">
        <v>10326</v>
      </c>
      <c r="R139">
        <v>98</v>
      </c>
      <c r="S139" s="3">
        <f>G139*SuperMarket_Analysis[[#This Row],[Quantity]]</f>
        <v>20652</v>
      </c>
    </row>
    <row r="140" spans="1:19" x14ac:dyDescent="0.25">
      <c r="A140" s="1" t="s">
        <v>173</v>
      </c>
      <c r="B140" s="1" t="s">
        <v>41</v>
      </c>
      <c r="C140" s="1" t="s">
        <v>42</v>
      </c>
      <c r="D140" s="1" t="s">
        <v>27</v>
      </c>
      <c r="E140" s="1" t="s">
        <v>21</v>
      </c>
      <c r="F140" s="1" t="s">
        <v>35</v>
      </c>
      <c r="G140" s="3">
        <v>5191</v>
      </c>
      <c r="H140">
        <v>10</v>
      </c>
      <c r="I140" s="3">
        <v>25955</v>
      </c>
      <c r="J140">
        <v>545055</v>
      </c>
      <c r="K140" t="str">
        <f t="shared" si="2"/>
        <v>fevereiro</v>
      </c>
      <c r="L140" s="4">
        <v>43512</v>
      </c>
      <c r="M140" s="2">
        <v>0.51458333333333328</v>
      </c>
      <c r="N140" s="1" t="s">
        <v>29</v>
      </c>
      <c r="O140" s="3">
        <v>5191</v>
      </c>
      <c r="P140">
        <v>4761904762</v>
      </c>
      <c r="Q140" s="3">
        <v>25955</v>
      </c>
      <c r="R140">
        <v>82</v>
      </c>
      <c r="S140" s="3">
        <f>G140*SuperMarket_Analysis[[#This Row],[Quantity]]</f>
        <v>51910</v>
      </c>
    </row>
    <row r="141" spans="1:19" x14ac:dyDescent="0.25">
      <c r="A141" s="1" t="s">
        <v>174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35</v>
      </c>
      <c r="G141" s="3">
        <v>725</v>
      </c>
      <c r="H141">
        <v>8</v>
      </c>
      <c r="I141" s="3">
        <v>29</v>
      </c>
      <c r="J141">
        <v>609</v>
      </c>
      <c r="K141" t="str">
        <f t="shared" si="2"/>
        <v>março</v>
      </c>
      <c r="L141" s="4">
        <v>43540</v>
      </c>
      <c r="M141" s="2">
        <v>0.80902777777777779</v>
      </c>
      <c r="N141" s="1" t="s">
        <v>23</v>
      </c>
      <c r="O141" s="3">
        <v>580</v>
      </c>
      <c r="P141">
        <v>4761904762</v>
      </c>
      <c r="Q141" s="3">
        <v>29</v>
      </c>
      <c r="R141">
        <v>92</v>
      </c>
      <c r="S141" s="3">
        <f>G141*SuperMarket_Analysis[[#This Row],[Quantity]]</f>
        <v>5800</v>
      </c>
    </row>
    <row r="142" spans="1:19" x14ac:dyDescent="0.25">
      <c r="A142" s="1" t="s">
        <v>175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35</v>
      </c>
      <c r="G142" s="3">
        <v>898</v>
      </c>
      <c r="H142">
        <v>10</v>
      </c>
      <c r="I142" s="3">
        <v>449</v>
      </c>
      <c r="J142">
        <v>9429</v>
      </c>
      <c r="K142" t="str">
        <f t="shared" si="2"/>
        <v>janeiro</v>
      </c>
      <c r="L142" s="4">
        <v>43488</v>
      </c>
      <c r="M142" s="2">
        <v>0.54166666666666663</v>
      </c>
      <c r="N142" s="1" t="s">
        <v>32</v>
      </c>
      <c r="O142" s="3">
        <v>898</v>
      </c>
      <c r="P142">
        <v>4761904762</v>
      </c>
      <c r="Q142" s="3">
        <v>449</v>
      </c>
      <c r="R142">
        <v>54</v>
      </c>
      <c r="S142" s="3">
        <f>G142*SuperMarket_Analysis[[#This Row],[Quantity]]</f>
        <v>8980</v>
      </c>
    </row>
    <row r="143" spans="1:19" x14ac:dyDescent="0.25">
      <c r="A143" s="1" t="s">
        <v>176</v>
      </c>
      <c r="B143" s="1" t="s">
        <v>25</v>
      </c>
      <c r="C143" s="1" t="s">
        <v>26</v>
      </c>
      <c r="D143" s="1" t="s">
        <v>20</v>
      </c>
      <c r="E143" s="1" t="s">
        <v>177</v>
      </c>
      <c r="F143" s="1" t="s">
        <v>22</v>
      </c>
      <c r="G143" s="3">
        <v>905</v>
      </c>
      <c r="H143">
        <v>10</v>
      </c>
      <c r="I143" s="3">
        <v>4525</v>
      </c>
      <c r="J143">
        <v>95025</v>
      </c>
      <c r="K143" t="str">
        <f t="shared" si="2"/>
        <v>janeiro</v>
      </c>
      <c r="L143" s="4">
        <v>43490</v>
      </c>
      <c r="M143" s="2">
        <v>0.57499999999999996</v>
      </c>
      <c r="N143" s="1" t="s">
        <v>29</v>
      </c>
      <c r="O143" s="3">
        <v>905</v>
      </c>
      <c r="P143">
        <v>4761904762</v>
      </c>
      <c r="Q143" s="3">
        <v>4525</v>
      </c>
      <c r="R143">
        <v>81</v>
      </c>
      <c r="S143" s="3">
        <f>G143*SuperMarket_Analysis[[#This Row],[Quantity]]</f>
        <v>9050</v>
      </c>
    </row>
    <row r="144" spans="1:19" x14ac:dyDescent="0.25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3">
        <v>686</v>
      </c>
      <c r="H144">
        <v>10</v>
      </c>
      <c r="I144" s="3">
        <v>343</v>
      </c>
      <c r="J144">
        <v>7203</v>
      </c>
      <c r="K144" t="str">
        <f t="shared" si="2"/>
        <v>fevereiro</v>
      </c>
      <c r="L144" s="4">
        <v>43501</v>
      </c>
      <c r="M144" s="2">
        <v>0.83125000000000004</v>
      </c>
      <c r="N144" s="1" t="s">
        <v>29</v>
      </c>
      <c r="O144" s="3">
        <v>686</v>
      </c>
      <c r="P144">
        <v>4761904762</v>
      </c>
      <c r="Q144" s="3">
        <v>343</v>
      </c>
      <c r="R144">
        <v>91</v>
      </c>
      <c r="S144" s="3">
        <f>G144*SuperMarket_Analysis[[#This Row],[Quantity]]</f>
        <v>6860</v>
      </c>
    </row>
    <row r="145" spans="1:19" x14ac:dyDescent="0.25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43</v>
      </c>
      <c r="G145" s="3">
        <v>3041</v>
      </c>
      <c r="H145">
        <v>1</v>
      </c>
      <c r="I145" s="3">
        <v>15205</v>
      </c>
      <c r="J145">
        <v>319305</v>
      </c>
      <c r="K145" t="str">
        <f t="shared" si="2"/>
        <v>fevereiro</v>
      </c>
      <c r="L145" s="4">
        <v>43518</v>
      </c>
      <c r="M145" s="2">
        <v>0.44166666666666665</v>
      </c>
      <c r="N145" s="1" t="s">
        <v>32</v>
      </c>
      <c r="O145" s="3">
        <v>3041</v>
      </c>
      <c r="P145">
        <v>4761904762</v>
      </c>
      <c r="Q145" s="3">
        <v>15205</v>
      </c>
      <c r="R145">
        <v>84</v>
      </c>
      <c r="S145" s="3">
        <f>G145*SuperMarket_Analysis[[#This Row],[Quantity]]</f>
        <v>3041</v>
      </c>
    </row>
    <row r="146" spans="1:19" x14ac:dyDescent="0.25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3">
        <v>7795</v>
      </c>
      <c r="H146">
        <v>6</v>
      </c>
      <c r="I146" s="3">
        <v>23385</v>
      </c>
      <c r="J146">
        <v>491085</v>
      </c>
      <c r="K146" t="str">
        <f t="shared" si="2"/>
        <v>janeiro</v>
      </c>
      <c r="L146" s="4">
        <v>43486</v>
      </c>
      <c r="M146" s="2">
        <v>0.69236111111111109</v>
      </c>
      <c r="N146" s="1" t="s">
        <v>23</v>
      </c>
      <c r="O146" s="3">
        <v>4677</v>
      </c>
      <c r="P146">
        <v>4761904762</v>
      </c>
      <c r="Q146" s="3">
        <v>23385</v>
      </c>
      <c r="R146">
        <v>8</v>
      </c>
      <c r="S146" s="3">
        <f>G146*SuperMarket_Analysis[[#This Row],[Quantity]]</f>
        <v>46770</v>
      </c>
    </row>
    <row r="147" spans="1:19" x14ac:dyDescent="0.25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3">
        <v>4626</v>
      </c>
      <c r="H147">
        <v>6</v>
      </c>
      <c r="I147" s="3">
        <v>13878</v>
      </c>
      <c r="J147">
        <v>291438</v>
      </c>
      <c r="K147" t="str">
        <f t="shared" si="2"/>
        <v>março</v>
      </c>
      <c r="L147" s="4">
        <v>43532</v>
      </c>
      <c r="M147" s="2">
        <v>0.71597222222222223</v>
      </c>
      <c r="N147" s="1" t="s">
        <v>32</v>
      </c>
      <c r="O147" s="3">
        <v>27756</v>
      </c>
      <c r="P147">
        <v>4761904762</v>
      </c>
      <c r="Q147" s="3">
        <v>13878</v>
      </c>
      <c r="R147">
        <v>95</v>
      </c>
      <c r="S147" s="3">
        <f>G147*SuperMarket_Analysis[[#This Row],[Quantity]]</f>
        <v>27756</v>
      </c>
    </row>
    <row r="148" spans="1:19" x14ac:dyDescent="0.25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45</v>
      </c>
      <c r="G148" s="3">
        <v>3014</v>
      </c>
      <c r="H148">
        <v>10</v>
      </c>
      <c r="I148" s="3">
        <v>1507</v>
      </c>
      <c r="J148">
        <v>31647</v>
      </c>
      <c r="K148" t="str">
        <f t="shared" si="2"/>
        <v>fevereiro</v>
      </c>
      <c r="L148" s="4">
        <v>43506</v>
      </c>
      <c r="M148" s="2">
        <v>0.51944444444444449</v>
      </c>
      <c r="N148" s="1" t="s">
        <v>23</v>
      </c>
      <c r="O148" s="3">
        <v>3014</v>
      </c>
      <c r="P148">
        <v>4761904762</v>
      </c>
      <c r="Q148" s="3">
        <v>1507</v>
      </c>
      <c r="R148">
        <v>92</v>
      </c>
      <c r="S148" s="3">
        <f>G148*SuperMarket_Analysis[[#This Row],[Quantity]]</f>
        <v>30140</v>
      </c>
    </row>
    <row r="149" spans="1:19" x14ac:dyDescent="0.25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177</v>
      </c>
      <c r="F149" s="1" t="s">
        <v>22</v>
      </c>
      <c r="G149" s="3">
        <v>6614</v>
      </c>
      <c r="H149">
        <v>4</v>
      </c>
      <c r="I149" s="3">
        <v>13228</v>
      </c>
      <c r="J149">
        <v>277788</v>
      </c>
      <c r="K149" t="str">
        <f t="shared" si="2"/>
        <v>março</v>
      </c>
      <c r="L149" s="4">
        <v>43543</v>
      </c>
      <c r="M149" s="2">
        <v>0.53194444444444444</v>
      </c>
      <c r="N149" s="1" t="s">
        <v>32</v>
      </c>
      <c r="O149" s="3">
        <v>26456</v>
      </c>
      <c r="P149">
        <v>4761904762</v>
      </c>
      <c r="Q149" s="3">
        <v>13228</v>
      </c>
      <c r="R149">
        <v>56</v>
      </c>
      <c r="S149" s="3">
        <f>G149*SuperMarket_Analysis[[#This Row],[Quantity]]</f>
        <v>26456</v>
      </c>
    </row>
    <row r="150" spans="1:19" x14ac:dyDescent="0.25">
      <c r="A150" s="1" t="s">
        <v>184</v>
      </c>
      <c r="B150" s="1" t="s">
        <v>41</v>
      </c>
      <c r="C150" s="1" t="s">
        <v>42</v>
      </c>
      <c r="D150" s="1" t="s">
        <v>20</v>
      </c>
      <c r="E150" s="1" t="s">
        <v>177</v>
      </c>
      <c r="F150" s="1" t="s">
        <v>31</v>
      </c>
      <c r="G150" s="3">
        <v>7186</v>
      </c>
      <c r="H150">
        <v>8</v>
      </c>
      <c r="I150" s="3">
        <v>28744</v>
      </c>
      <c r="J150">
        <v>603624</v>
      </c>
      <c r="K150" t="str">
        <f t="shared" si="2"/>
        <v>março</v>
      </c>
      <c r="L150" s="4">
        <v>43530</v>
      </c>
      <c r="M150" s="2">
        <v>0.62986111111111109</v>
      </c>
      <c r="N150" s="1" t="s">
        <v>32</v>
      </c>
      <c r="O150" s="3">
        <v>57488</v>
      </c>
      <c r="P150">
        <v>4761904762</v>
      </c>
      <c r="Q150" s="3">
        <v>28744</v>
      </c>
      <c r="R150">
        <v>62</v>
      </c>
      <c r="S150" s="3">
        <f>G150*SuperMarket_Analysis[[#This Row],[Quantity]]</f>
        <v>57488</v>
      </c>
    </row>
    <row r="151" spans="1:19" x14ac:dyDescent="0.25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177</v>
      </c>
      <c r="F151" s="1" t="s">
        <v>22</v>
      </c>
      <c r="G151" s="3">
        <v>3246</v>
      </c>
      <c r="H151">
        <v>8</v>
      </c>
      <c r="I151" s="3">
        <v>12984</v>
      </c>
      <c r="J151">
        <v>272664</v>
      </c>
      <c r="K151" t="str">
        <f t="shared" si="2"/>
        <v>março</v>
      </c>
      <c r="L151" s="4">
        <v>43551</v>
      </c>
      <c r="M151" s="2">
        <v>0.57499999999999996</v>
      </c>
      <c r="N151" s="1" t="s">
        <v>32</v>
      </c>
      <c r="O151" s="3">
        <v>25968</v>
      </c>
      <c r="P151">
        <v>4761904762</v>
      </c>
      <c r="Q151" s="3">
        <v>12984</v>
      </c>
      <c r="R151">
        <v>49</v>
      </c>
      <c r="S151" s="3">
        <f>G151*SuperMarket_Analysis[[#This Row],[Quantity]]</f>
        <v>25968</v>
      </c>
    </row>
    <row r="152" spans="1:19" x14ac:dyDescent="0.25">
      <c r="A152" s="1" t="s">
        <v>186</v>
      </c>
      <c r="B152" s="1" t="s">
        <v>41</v>
      </c>
      <c r="C152" s="1" t="s">
        <v>42</v>
      </c>
      <c r="D152" s="1" t="s">
        <v>20</v>
      </c>
      <c r="E152" s="1" t="s">
        <v>21</v>
      </c>
      <c r="F152" s="1" t="s">
        <v>45</v>
      </c>
      <c r="G152" s="3">
        <v>9154</v>
      </c>
      <c r="H152">
        <v>4</v>
      </c>
      <c r="I152" s="3">
        <v>18308</v>
      </c>
      <c r="J152">
        <v>384468</v>
      </c>
      <c r="K152" t="str">
        <f t="shared" si="2"/>
        <v>março</v>
      </c>
      <c r="L152" s="4">
        <v>43547</v>
      </c>
      <c r="M152" s="2">
        <v>0.80555555555555558</v>
      </c>
      <c r="N152" s="1" t="s">
        <v>32</v>
      </c>
      <c r="O152" s="3">
        <v>36616</v>
      </c>
      <c r="P152">
        <v>4761904762</v>
      </c>
      <c r="Q152" s="3">
        <v>18308</v>
      </c>
      <c r="R152">
        <v>48</v>
      </c>
      <c r="S152" s="3">
        <f>G152*SuperMarket_Analysis[[#This Row],[Quantity]]</f>
        <v>36616</v>
      </c>
    </row>
    <row r="153" spans="1:19" x14ac:dyDescent="0.25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177</v>
      </c>
      <c r="F153" s="1" t="s">
        <v>35</v>
      </c>
      <c r="G153" s="3">
        <v>3456</v>
      </c>
      <c r="H153">
        <v>7</v>
      </c>
      <c r="I153" s="3">
        <v>12096</v>
      </c>
      <c r="J153">
        <v>254016</v>
      </c>
      <c r="K153" t="str">
        <f t="shared" si="2"/>
        <v>março</v>
      </c>
      <c r="L153" s="4">
        <v>43535</v>
      </c>
      <c r="M153" s="2">
        <v>0.67152777777777772</v>
      </c>
      <c r="N153" s="1" t="s">
        <v>32</v>
      </c>
      <c r="O153" s="3">
        <v>24192</v>
      </c>
      <c r="P153">
        <v>4761904762</v>
      </c>
      <c r="Q153" s="3">
        <v>12096</v>
      </c>
      <c r="R153">
        <v>73</v>
      </c>
      <c r="S153" s="3">
        <f>G153*SuperMarket_Analysis[[#This Row],[Quantity]]</f>
        <v>24192</v>
      </c>
    </row>
    <row r="154" spans="1:19" x14ac:dyDescent="0.25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177</v>
      </c>
      <c r="F154" s="1" t="s">
        <v>45</v>
      </c>
      <c r="G154" s="3">
        <v>8324</v>
      </c>
      <c r="H154">
        <v>9</v>
      </c>
      <c r="I154" s="3">
        <v>37458</v>
      </c>
      <c r="J154">
        <v>786618</v>
      </c>
      <c r="K154" t="str">
        <f t="shared" si="2"/>
        <v>janeiro</v>
      </c>
      <c r="L154" s="4">
        <v>43494</v>
      </c>
      <c r="M154" s="2">
        <v>0.49722222222222223</v>
      </c>
      <c r="N154" s="1" t="s">
        <v>32</v>
      </c>
      <c r="O154" s="3">
        <v>74916</v>
      </c>
      <c r="P154">
        <v>4761904762</v>
      </c>
      <c r="Q154" s="3">
        <v>37458</v>
      </c>
      <c r="R154">
        <v>74</v>
      </c>
      <c r="S154" s="3">
        <f>G154*SuperMarket_Analysis[[#This Row],[Quantity]]</f>
        <v>74916</v>
      </c>
    </row>
    <row r="155" spans="1:19" x14ac:dyDescent="0.25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43</v>
      </c>
      <c r="G155" s="3">
        <v>1648</v>
      </c>
      <c r="H155">
        <v>6</v>
      </c>
      <c r="I155" s="3">
        <v>4944</v>
      </c>
      <c r="J155">
        <v>103824</v>
      </c>
      <c r="K155" t="str">
        <f t="shared" si="2"/>
        <v>fevereiro</v>
      </c>
      <c r="L155" s="4">
        <v>43503</v>
      </c>
      <c r="M155" s="2">
        <v>0.76597222222222228</v>
      </c>
      <c r="N155" s="1" t="s">
        <v>23</v>
      </c>
      <c r="O155" s="3">
        <v>9888</v>
      </c>
      <c r="P155">
        <v>4761904762</v>
      </c>
      <c r="Q155" s="3">
        <v>4944</v>
      </c>
      <c r="R155">
        <v>99</v>
      </c>
      <c r="S155" s="3">
        <f>G155*SuperMarket_Analysis[[#This Row],[Quantity]]</f>
        <v>9888</v>
      </c>
    </row>
    <row r="156" spans="1:19" x14ac:dyDescent="0.25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35</v>
      </c>
      <c r="G156" s="3">
        <v>8097</v>
      </c>
      <c r="H156">
        <v>8</v>
      </c>
      <c r="I156" s="3">
        <v>32388</v>
      </c>
      <c r="J156">
        <v>680148</v>
      </c>
      <c r="K156" t="str">
        <f t="shared" si="2"/>
        <v>janeiro</v>
      </c>
      <c r="L156" s="4">
        <v>43493</v>
      </c>
      <c r="M156" s="2">
        <v>0.54513888888888884</v>
      </c>
      <c r="N156" s="1" t="s">
        <v>29</v>
      </c>
      <c r="O156" s="3">
        <v>64776</v>
      </c>
      <c r="P156">
        <v>4761904762</v>
      </c>
      <c r="Q156" s="3">
        <v>32388</v>
      </c>
      <c r="R156">
        <v>93</v>
      </c>
      <c r="S156" s="3">
        <f>G156*SuperMarket_Analysis[[#This Row],[Quantity]]</f>
        <v>64776</v>
      </c>
    </row>
    <row r="157" spans="1:19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177</v>
      </c>
      <c r="F157" s="1" t="s">
        <v>43</v>
      </c>
      <c r="G157" s="3">
        <v>9229</v>
      </c>
      <c r="H157">
        <v>5</v>
      </c>
      <c r="I157" s="3">
        <v>230725</v>
      </c>
      <c r="J157">
        <v>4845225</v>
      </c>
      <c r="K157" t="str">
        <f t="shared" si="2"/>
        <v>fevereiro</v>
      </c>
      <c r="L157" s="4">
        <v>43516</v>
      </c>
      <c r="M157" s="2">
        <v>0.66319444444444442</v>
      </c>
      <c r="N157" s="1" t="s">
        <v>32</v>
      </c>
      <c r="O157" s="3">
        <v>46145</v>
      </c>
      <c r="P157">
        <v>4761904762</v>
      </c>
      <c r="Q157" s="3">
        <v>230725</v>
      </c>
      <c r="R157">
        <v>9</v>
      </c>
      <c r="S157" s="3">
        <f>G157*SuperMarket_Analysis[[#This Row],[Quantity]]</f>
        <v>46145</v>
      </c>
    </row>
    <row r="158" spans="1:19" x14ac:dyDescent="0.25">
      <c r="A158" s="1" t="s">
        <v>192</v>
      </c>
      <c r="B158" s="1" t="s">
        <v>41</v>
      </c>
      <c r="C158" s="1" t="s">
        <v>42</v>
      </c>
      <c r="D158" s="1" t="s">
        <v>20</v>
      </c>
      <c r="E158" s="1" t="s">
        <v>177</v>
      </c>
      <c r="F158" s="1" t="s">
        <v>28</v>
      </c>
      <c r="G158" s="3">
        <v>7217</v>
      </c>
      <c r="H158">
        <v>1</v>
      </c>
      <c r="I158" s="3">
        <v>36085</v>
      </c>
      <c r="J158">
        <v>757785</v>
      </c>
      <c r="K158" t="str">
        <f t="shared" si="2"/>
        <v>janeiro</v>
      </c>
      <c r="L158" s="4">
        <v>43469</v>
      </c>
      <c r="M158" s="2">
        <v>0.81944444444444442</v>
      </c>
      <c r="N158" s="1" t="s">
        <v>29</v>
      </c>
      <c r="O158" s="3">
        <v>7217</v>
      </c>
      <c r="P158">
        <v>4761904762</v>
      </c>
      <c r="Q158" s="3">
        <v>36085</v>
      </c>
      <c r="R158">
        <v>61</v>
      </c>
      <c r="S158" s="3">
        <f>G158*SuperMarket_Analysis[[#This Row],[Quantity]]</f>
        <v>7217</v>
      </c>
    </row>
    <row r="159" spans="1:19" x14ac:dyDescent="0.25">
      <c r="A159" s="1" t="s">
        <v>193</v>
      </c>
      <c r="B159" s="1" t="s">
        <v>41</v>
      </c>
      <c r="C159" s="1" t="s">
        <v>42</v>
      </c>
      <c r="D159" s="1" t="s">
        <v>27</v>
      </c>
      <c r="E159" s="1" t="s">
        <v>177</v>
      </c>
      <c r="F159" s="1" t="s">
        <v>31</v>
      </c>
      <c r="G159" s="3">
        <v>5028</v>
      </c>
      <c r="H159">
        <v>5</v>
      </c>
      <c r="I159" s="3">
        <v>1257</v>
      </c>
      <c r="J159">
        <v>26397</v>
      </c>
      <c r="K159" t="str">
        <f t="shared" si="2"/>
        <v>março</v>
      </c>
      <c r="L159" s="4">
        <v>43531</v>
      </c>
      <c r="M159" s="2">
        <v>0.58194444444444449</v>
      </c>
      <c r="N159" s="1" t="s">
        <v>23</v>
      </c>
      <c r="O159" s="3">
        <v>2514</v>
      </c>
      <c r="P159">
        <v>4761904762</v>
      </c>
      <c r="Q159" s="3">
        <v>1257</v>
      </c>
      <c r="R159">
        <v>97</v>
      </c>
      <c r="S159" s="3">
        <f>G159*SuperMarket_Analysis[[#This Row],[Quantity]]</f>
        <v>25140</v>
      </c>
    </row>
    <row r="160" spans="1:19" x14ac:dyDescent="0.25">
      <c r="A160" s="1" t="s">
        <v>194</v>
      </c>
      <c r="B160" s="1" t="s">
        <v>41</v>
      </c>
      <c r="C160" s="1" t="s">
        <v>42</v>
      </c>
      <c r="D160" s="1" t="s">
        <v>20</v>
      </c>
      <c r="E160" s="1" t="s">
        <v>177</v>
      </c>
      <c r="F160" s="1" t="s">
        <v>22</v>
      </c>
      <c r="G160" s="3">
        <v>9722</v>
      </c>
      <c r="H160">
        <v>9</v>
      </c>
      <c r="I160" s="3">
        <v>43749</v>
      </c>
      <c r="J160">
        <v>918729</v>
      </c>
      <c r="K160" t="str">
        <f t="shared" si="2"/>
        <v>março</v>
      </c>
      <c r="L160" s="4">
        <v>43554</v>
      </c>
      <c r="M160" s="2">
        <v>0.61319444444444449</v>
      </c>
      <c r="N160" s="1" t="s">
        <v>23</v>
      </c>
      <c r="O160" s="3">
        <v>87498</v>
      </c>
      <c r="P160">
        <v>4761904762</v>
      </c>
      <c r="Q160" s="3">
        <v>43749</v>
      </c>
      <c r="R160">
        <v>6</v>
      </c>
      <c r="S160" s="3">
        <f>G160*SuperMarket_Analysis[[#This Row],[Quantity]]</f>
        <v>87498</v>
      </c>
    </row>
    <row r="161" spans="1:19" x14ac:dyDescent="0.25">
      <c r="A161" s="1" t="s">
        <v>195</v>
      </c>
      <c r="B161" s="1" t="s">
        <v>41</v>
      </c>
      <c r="C161" s="1" t="s">
        <v>42</v>
      </c>
      <c r="D161" s="1" t="s">
        <v>27</v>
      </c>
      <c r="E161" s="1" t="s">
        <v>177</v>
      </c>
      <c r="F161" s="1" t="s">
        <v>35</v>
      </c>
      <c r="G161" s="3">
        <v>9339</v>
      </c>
      <c r="H161">
        <v>6</v>
      </c>
      <c r="I161" s="3">
        <v>28017</v>
      </c>
      <c r="J161">
        <v>588357</v>
      </c>
      <c r="K161" t="str">
        <f t="shared" si="2"/>
        <v>março</v>
      </c>
      <c r="L161" s="4">
        <v>43551</v>
      </c>
      <c r="M161" s="2">
        <v>0.8041666666666667</v>
      </c>
      <c r="N161" s="1" t="s">
        <v>23</v>
      </c>
      <c r="O161" s="3">
        <v>56034</v>
      </c>
      <c r="P161">
        <v>4761904762</v>
      </c>
      <c r="Q161" s="3">
        <v>28017</v>
      </c>
      <c r="R161">
        <v>10</v>
      </c>
      <c r="S161" s="3">
        <f>G161*SuperMarket_Analysis[[#This Row],[Quantity]]</f>
        <v>56034</v>
      </c>
    </row>
    <row r="162" spans="1:19" x14ac:dyDescent="0.25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43</v>
      </c>
      <c r="G162" s="3">
        <v>4318</v>
      </c>
      <c r="H162">
        <v>8</v>
      </c>
      <c r="I162" s="3">
        <v>17272</v>
      </c>
      <c r="J162">
        <v>362712</v>
      </c>
      <c r="K162" t="str">
        <f t="shared" si="2"/>
        <v>janeiro</v>
      </c>
      <c r="L162" s="4">
        <v>43484</v>
      </c>
      <c r="M162" s="2">
        <v>0.81874999999999998</v>
      </c>
      <c r="N162" s="1" t="s">
        <v>32</v>
      </c>
      <c r="O162" s="3">
        <v>34544</v>
      </c>
      <c r="P162">
        <v>4761904762</v>
      </c>
      <c r="Q162" s="3">
        <v>17272</v>
      </c>
      <c r="R162">
        <v>83</v>
      </c>
      <c r="S162" s="3">
        <f>G162*SuperMarket_Analysis[[#This Row],[Quantity]]</f>
        <v>34544</v>
      </c>
    </row>
    <row r="163" spans="1:19" x14ac:dyDescent="0.25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177</v>
      </c>
      <c r="F163" s="1" t="s">
        <v>35</v>
      </c>
      <c r="G163" s="3">
        <v>6369</v>
      </c>
      <c r="H163">
        <v>1</v>
      </c>
      <c r="I163" s="3">
        <v>31845</v>
      </c>
      <c r="J163">
        <v>668745</v>
      </c>
      <c r="K163" t="str">
        <f t="shared" si="2"/>
        <v>fevereiro</v>
      </c>
      <c r="L163" s="4">
        <v>43521</v>
      </c>
      <c r="M163" s="2">
        <v>0.68125000000000002</v>
      </c>
      <c r="N163" s="1" t="s">
        <v>29</v>
      </c>
      <c r="O163" s="3">
        <v>6369</v>
      </c>
      <c r="P163">
        <v>4761904762</v>
      </c>
      <c r="Q163" s="3">
        <v>31845</v>
      </c>
      <c r="R163">
        <v>6</v>
      </c>
      <c r="S163" s="3">
        <f>G163*SuperMarket_Analysis[[#This Row],[Quantity]]</f>
        <v>6369</v>
      </c>
    </row>
    <row r="164" spans="1:19" x14ac:dyDescent="0.25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177</v>
      </c>
      <c r="F164" s="1" t="s">
        <v>43</v>
      </c>
      <c r="G164" s="3">
        <v>4579</v>
      </c>
      <c r="H164">
        <v>7</v>
      </c>
      <c r="I164" s="3">
        <v>160265</v>
      </c>
      <c r="J164">
        <v>3365565</v>
      </c>
      <c r="K164" t="str">
        <f t="shared" si="2"/>
        <v>março</v>
      </c>
      <c r="L164" s="4">
        <v>43537</v>
      </c>
      <c r="M164" s="2">
        <v>0.82222222222222219</v>
      </c>
      <c r="N164" s="1" t="s">
        <v>32</v>
      </c>
      <c r="O164" s="3">
        <v>32053</v>
      </c>
      <c r="P164">
        <v>4761904762</v>
      </c>
      <c r="Q164" s="3">
        <v>160265</v>
      </c>
      <c r="R164">
        <v>7</v>
      </c>
      <c r="S164" s="3">
        <f>G164*SuperMarket_Analysis[[#This Row],[Quantity]]</f>
        <v>32053</v>
      </c>
    </row>
    <row r="165" spans="1:19" x14ac:dyDescent="0.25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177</v>
      </c>
      <c r="F165" s="1" t="s">
        <v>35</v>
      </c>
      <c r="G165" s="3">
        <v>764</v>
      </c>
      <c r="H165">
        <v>2</v>
      </c>
      <c r="I165" s="3">
        <v>764</v>
      </c>
      <c r="J165">
        <v>16044</v>
      </c>
      <c r="K165" t="str">
        <f t="shared" si="2"/>
        <v>janeiro</v>
      </c>
      <c r="L165" s="4">
        <v>43495</v>
      </c>
      <c r="M165" s="2">
        <v>0.8208333333333333</v>
      </c>
      <c r="N165" s="1" t="s">
        <v>23</v>
      </c>
      <c r="O165" s="3">
        <v>1528</v>
      </c>
      <c r="P165">
        <v>4761904762</v>
      </c>
      <c r="Q165" s="3">
        <v>764</v>
      </c>
      <c r="R165">
        <v>65</v>
      </c>
      <c r="S165" s="3">
        <f>G165*SuperMarket_Analysis[[#This Row],[Quantity]]</f>
        <v>1528</v>
      </c>
    </row>
    <row r="166" spans="1:19" x14ac:dyDescent="0.25">
      <c r="A166" s="1" t="s">
        <v>200</v>
      </c>
      <c r="B166" s="1" t="s">
        <v>41</v>
      </c>
      <c r="C166" s="1" t="s">
        <v>42</v>
      </c>
      <c r="D166" s="1" t="s">
        <v>27</v>
      </c>
      <c r="E166" s="1" t="s">
        <v>177</v>
      </c>
      <c r="F166" s="1" t="s">
        <v>43</v>
      </c>
      <c r="G166" s="3">
        <v>399</v>
      </c>
      <c r="H166">
        <v>10</v>
      </c>
      <c r="I166" s="3">
        <v>1995</v>
      </c>
      <c r="J166">
        <v>41895</v>
      </c>
      <c r="K166" t="str">
        <f t="shared" si="2"/>
        <v>fevereiro</v>
      </c>
      <c r="L166" s="4">
        <v>43516</v>
      </c>
      <c r="M166" s="2">
        <v>0.64166666666666672</v>
      </c>
      <c r="N166" s="1" t="s">
        <v>32</v>
      </c>
      <c r="O166" s="3">
        <v>399</v>
      </c>
      <c r="P166">
        <v>4761904762</v>
      </c>
      <c r="Q166" s="3">
        <v>1995</v>
      </c>
      <c r="R166">
        <v>59</v>
      </c>
      <c r="S166" s="3">
        <f>G166*SuperMarket_Analysis[[#This Row],[Quantity]]</f>
        <v>3990</v>
      </c>
    </row>
    <row r="167" spans="1:19" x14ac:dyDescent="0.25">
      <c r="A167" s="1" t="s">
        <v>201</v>
      </c>
      <c r="B167" s="1" t="s">
        <v>41</v>
      </c>
      <c r="C167" s="1" t="s">
        <v>42</v>
      </c>
      <c r="D167" s="1" t="s">
        <v>20</v>
      </c>
      <c r="E167" s="1" t="s">
        <v>177</v>
      </c>
      <c r="F167" s="1" t="s">
        <v>22</v>
      </c>
      <c r="G167" s="3">
        <v>4257</v>
      </c>
      <c r="H167">
        <v>8</v>
      </c>
      <c r="I167" s="3">
        <v>17028</v>
      </c>
      <c r="J167">
        <v>357588</v>
      </c>
      <c r="K167" t="str">
        <f t="shared" si="2"/>
        <v>fevereiro</v>
      </c>
      <c r="L167" s="4">
        <v>43521</v>
      </c>
      <c r="M167" s="2">
        <v>0.59166666666666667</v>
      </c>
      <c r="N167" s="1" t="s">
        <v>23</v>
      </c>
      <c r="O167" s="3">
        <v>34056</v>
      </c>
      <c r="P167">
        <v>4761904762</v>
      </c>
      <c r="Q167" s="3">
        <v>17028</v>
      </c>
      <c r="R167">
        <v>56</v>
      </c>
      <c r="S167" s="3">
        <f>G167*SuperMarket_Analysis[[#This Row],[Quantity]]</f>
        <v>34056</v>
      </c>
    </row>
    <row r="168" spans="1:19" x14ac:dyDescent="0.25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177</v>
      </c>
      <c r="F168" s="1" t="s">
        <v>31</v>
      </c>
      <c r="G168" s="3">
        <v>9558</v>
      </c>
      <c r="H168">
        <v>10</v>
      </c>
      <c r="I168" s="3">
        <v>4779</v>
      </c>
      <c r="J168">
        <v>100359</v>
      </c>
      <c r="K168" t="str">
        <f t="shared" si="2"/>
        <v>janeiro</v>
      </c>
      <c r="L168" s="4">
        <v>43481</v>
      </c>
      <c r="M168" s="2">
        <v>0.56388888888888888</v>
      </c>
      <c r="N168" s="1" t="s">
        <v>29</v>
      </c>
      <c r="O168" s="3">
        <v>9558</v>
      </c>
      <c r="P168">
        <v>4761904762</v>
      </c>
      <c r="Q168" s="3">
        <v>4779</v>
      </c>
      <c r="R168">
        <v>48</v>
      </c>
      <c r="S168" s="3">
        <f>G168*SuperMarket_Analysis[[#This Row],[Quantity]]</f>
        <v>95580</v>
      </c>
    </row>
    <row r="169" spans="1:19" x14ac:dyDescent="0.25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177</v>
      </c>
      <c r="F169" s="1" t="s">
        <v>45</v>
      </c>
      <c r="G169" s="3">
        <v>9898</v>
      </c>
      <c r="H169">
        <v>10</v>
      </c>
      <c r="I169" s="3">
        <v>4949</v>
      </c>
      <c r="J169">
        <v>103929</v>
      </c>
      <c r="K169" t="str">
        <f t="shared" si="2"/>
        <v>fevereiro</v>
      </c>
      <c r="L169" s="4">
        <v>43504</v>
      </c>
      <c r="M169" s="2">
        <v>0.68055555555555558</v>
      </c>
      <c r="N169" s="1" t="s">
        <v>32</v>
      </c>
      <c r="O169" s="3">
        <v>9898</v>
      </c>
      <c r="P169">
        <v>4761904762</v>
      </c>
      <c r="Q169" s="3">
        <v>4949</v>
      </c>
      <c r="R169">
        <v>87</v>
      </c>
      <c r="S169" s="3">
        <f>G169*SuperMarket_Analysis[[#This Row],[Quantity]]</f>
        <v>98980</v>
      </c>
    </row>
    <row r="170" spans="1:19" x14ac:dyDescent="0.25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177</v>
      </c>
      <c r="F170" s="1" t="s">
        <v>43</v>
      </c>
      <c r="G170" s="3">
        <v>5128</v>
      </c>
      <c r="H170">
        <v>6</v>
      </c>
      <c r="I170" s="3">
        <v>15384</v>
      </c>
      <c r="J170">
        <v>323064</v>
      </c>
      <c r="K170" t="str">
        <f t="shared" si="2"/>
        <v>janeiro</v>
      </c>
      <c r="L170" s="4">
        <v>43484</v>
      </c>
      <c r="M170" s="2">
        <v>0.68819444444444444</v>
      </c>
      <c r="N170" s="1" t="s">
        <v>29</v>
      </c>
      <c r="O170" s="3">
        <v>30768</v>
      </c>
      <c r="P170">
        <v>4761904762</v>
      </c>
      <c r="Q170" s="3">
        <v>15384</v>
      </c>
      <c r="R170">
        <v>65</v>
      </c>
      <c r="S170" s="3">
        <f>G170*SuperMarket_Analysis[[#This Row],[Quantity]]</f>
        <v>30768</v>
      </c>
    </row>
    <row r="171" spans="1:19" x14ac:dyDescent="0.25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177</v>
      </c>
      <c r="F171" s="1" t="s">
        <v>35</v>
      </c>
      <c r="G171" s="3">
        <v>6952</v>
      </c>
      <c r="H171">
        <v>7</v>
      </c>
      <c r="I171" s="3">
        <v>24332</v>
      </c>
      <c r="J171">
        <v>510972</v>
      </c>
      <c r="K171" t="str">
        <f t="shared" si="2"/>
        <v>fevereiro</v>
      </c>
      <c r="L171" s="4">
        <v>43497</v>
      </c>
      <c r="M171" s="2">
        <v>0.63194444444444442</v>
      </c>
      <c r="N171" s="1" t="s">
        <v>32</v>
      </c>
      <c r="O171" s="3">
        <v>48664</v>
      </c>
      <c r="P171">
        <v>4761904762</v>
      </c>
      <c r="Q171" s="3">
        <v>24332</v>
      </c>
      <c r="R171">
        <v>85</v>
      </c>
      <c r="S171" s="3">
        <f>G171*SuperMarket_Analysis[[#This Row],[Quantity]]</f>
        <v>48664</v>
      </c>
    </row>
    <row r="172" spans="1:19" x14ac:dyDescent="0.25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177</v>
      </c>
      <c r="F172" s="1" t="s">
        <v>22</v>
      </c>
      <c r="G172" s="3">
        <v>7001</v>
      </c>
      <c r="H172">
        <v>5</v>
      </c>
      <c r="I172" s="3">
        <v>175025</v>
      </c>
      <c r="J172">
        <v>3675525</v>
      </c>
      <c r="K172" t="str">
        <f t="shared" si="2"/>
        <v>janeiro</v>
      </c>
      <c r="L172" s="4">
        <v>43468</v>
      </c>
      <c r="M172" s="2">
        <v>0.48333333333333334</v>
      </c>
      <c r="N172" s="1" t="s">
        <v>23</v>
      </c>
      <c r="O172" s="3">
        <v>35005</v>
      </c>
      <c r="P172">
        <v>4761904762</v>
      </c>
      <c r="Q172" s="3">
        <v>175025</v>
      </c>
      <c r="R172">
        <v>55</v>
      </c>
      <c r="S172" s="3">
        <f>G172*SuperMarket_Analysis[[#This Row],[Quantity]]</f>
        <v>35005</v>
      </c>
    </row>
    <row r="173" spans="1:19" x14ac:dyDescent="0.25">
      <c r="A173" s="1" t="s">
        <v>207</v>
      </c>
      <c r="B173" s="1" t="s">
        <v>41</v>
      </c>
      <c r="C173" s="1" t="s">
        <v>42</v>
      </c>
      <c r="D173" s="1" t="s">
        <v>20</v>
      </c>
      <c r="E173" s="1" t="s">
        <v>177</v>
      </c>
      <c r="F173" s="1" t="s">
        <v>43</v>
      </c>
      <c r="G173" s="3">
        <v>8005</v>
      </c>
      <c r="H173">
        <v>5</v>
      </c>
      <c r="I173" s="3">
        <v>200125</v>
      </c>
      <c r="J173">
        <v>4202625</v>
      </c>
      <c r="K173" t="str">
        <f t="shared" si="2"/>
        <v>janeiro</v>
      </c>
      <c r="L173" s="4">
        <v>43491</v>
      </c>
      <c r="M173" s="2">
        <v>0.53125</v>
      </c>
      <c r="N173" s="1" t="s">
        <v>32</v>
      </c>
      <c r="O173" s="3">
        <v>40025</v>
      </c>
      <c r="P173">
        <v>4761904762</v>
      </c>
      <c r="Q173" s="3">
        <v>200125</v>
      </c>
      <c r="R173">
        <v>94</v>
      </c>
      <c r="S173" s="3">
        <f>G173*SuperMarket_Analysis[[#This Row],[Quantity]]</f>
        <v>40025</v>
      </c>
    </row>
    <row r="174" spans="1:19" x14ac:dyDescent="0.25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177</v>
      </c>
      <c r="F174" s="1" t="s">
        <v>28</v>
      </c>
      <c r="G174" s="3">
        <v>2085</v>
      </c>
      <c r="H174">
        <v>8</v>
      </c>
      <c r="I174" s="3">
        <v>834</v>
      </c>
      <c r="J174">
        <v>17514</v>
      </c>
      <c r="K174" t="str">
        <f t="shared" si="2"/>
        <v>março</v>
      </c>
      <c r="L174" s="4">
        <v>43527</v>
      </c>
      <c r="M174" s="2">
        <v>0.80347222222222225</v>
      </c>
      <c r="N174" s="1" t="s">
        <v>29</v>
      </c>
      <c r="O174" s="3">
        <v>1668</v>
      </c>
      <c r="P174">
        <v>4761904762</v>
      </c>
      <c r="Q174" s="3">
        <v>834</v>
      </c>
      <c r="R174">
        <v>63</v>
      </c>
      <c r="S174" s="3">
        <f>G174*SuperMarket_Analysis[[#This Row],[Quantity]]</f>
        <v>16680</v>
      </c>
    </row>
    <row r="175" spans="1:19" x14ac:dyDescent="0.25">
      <c r="A175" s="1" t="s">
        <v>209</v>
      </c>
      <c r="B175" s="1" t="s">
        <v>41</v>
      </c>
      <c r="C175" s="1" t="s">
        <v>42</v>
      </c>
      <c r="D175" s="1" t="s">
        <v>20</v>
      </c>
      <c r="E175" s="1" t="s">
        <v>177</v>
      </c>
      <c r="F175" s="1" t="s">
        <v>28</v>
      </c>
      <c r="G175" s="3">
        <v>5289</v>
      </c>
      <c r="H175">
        <v>6</v>
      </c>
      <c r="I175" s="3">
        <v>15867</v>
      </c>
      <c r="J175">
        <v>333207</v>
      </c>
      <c r="K175" t="str">
        <f t="shared" si="2"/>
        <v>janeiro</v>
      </c>
      <c r="L175" s="4">
        <v>43484</v>
      </c>
      <c r="M175" s="2">
        <v>0.7319444444444444</v>
      </c>
      <c r="N175" s="1" t="s">
        <v>32</v>
      </c>
      <c r="O175" s="3">
        <v>31734</v>
      </c>
      <c r="P175">
        <v>4761904762</v>
      </c>
      <c r="Q175" s="3">
        <v>15867</v>
      </c>
      <c r="R175">
        <v>98</v>
      </c>
      <c r="S175" s="3">
        <f>G175*SuperMarket_Analysis[[#This Row],[Quantity]]</f>
        <v>31734</v>
      </c>
    </row>
    <row r="176" spans="1:19" x14ac:dyDescent="0.25">
      <c r="A176" s="1" t="s">
        <v>210</v>
      </c>
      <c r="B176" s="1" t="s">
        <v>41</v>
      </c>
      <c r="C176" s="1" t="s">
        <v>42</v>
      </c>
      <c r="D176" s="1" t="s">
        <v>27</v>
      </c>
      <c r="E176" s="1" t="s">
        <v>177</v>
      </c>
      <c r="F176" s="1" t="s">
        <v>43</v>
      </c>
      <c r="G176" s="3">
        <v>1979</v>
      </c>
      <c r="H176">
        <v>8</v>
      </c>
      <c r="I176" s="3">
        <v>7916</v>
      </c>
      <c r="J176">
        <v>166236</v>
      </c>
      <c r="K176" t="str">
        <f t="shared" si="2"/>
        <v>janeiro</v>
      </c>
      <c r="L176" s="4">
        <v>43483</v>
      </c>
      <c r="M176" s="2">
        <v>0.50277777777777777</v>
      </c>
      <c r="N176" s="1" t="s">
        <v>23</v>
      </c>
      <c r="O176" s="3">
        <v>15832</v>
      </c>
      <c r="P176">
        <v>4761904762</v>
      </c>
      <c r="Q176" s="3">
        <v>7916</v>
      </c>
      <c r="R176">
        <v>87</v>
      </c>
      <c r="S176" s="3">
        <f>G176*SuperMarket_Analysis[[#This Row],[Quantity]]</f>
        <v>15832</v>
      </c>
    </row>
    <row r="177" spans="1:19" x14ac:dyDescent="0.25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177</v>
      </c>
      <c r="F177" s="1" t="s">
        <v>31</v>
      </c>
      <c r="G177" s="3">
        <v>3384</v>
      </c>
      <c r="H177">
        <v>9</v>
      </c>
      <c r="I177" s="3">
        <v>15228</v>
      </c>
      <c r="J177">
        <v>319788</v>
      </c>
      <c r="K177" t="str">
        <f t="shared" si="2"/>
        <v>março</v>
      </c>
      <c r="L177" s="4">
        <v>43545</v>
      </c>
      <c r="M177" s="2">
        <v>0.68125000000000002</v>
      </c>
      <c r="N177" s="1" t="s">
        <v>23</v>
      </c>
      <c r="O177" s="3">
        <v>30456</v>
      </c>
      <c r="P177">
        <v>4761904762</v>
      </c>
      <c r="Q177" s="3">
        <v>15228</v>
      </c>
      <c r="R177">
        <v>88</v>
      </c>
      <c r="S177" s="3">
        <f>G177*SuperMarket_Analysis[[#This Row],[Quantity]]</f>
        <v>30456</v>
      </c>
    </row>
    <row r="178" spans="1:19" x14ac:dyDescent="0.25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177</v>
      </c>
      <c r="F178" s="1" t="s">
        <v>43</v>
      </c>
      <c r="G178" s="3">
        <v>2217</v>
      </c>
      <c r="H178">
        <v>8</v>
      </c>
      <c r="I178" s="3">
        <v>8868</v>
      </c>
      <c r="J178">
        <v>186228</v>
      </c>
      <c r="K178" t="str">
        <f t="shared" si="2"/>
        <v>março</v>
      </c>
      <c r="L178" s="4">
        <v>43527</v>
      </c>
      <c r="M178" s="2">
        <v>0.70902777777777781</v>
      </c>
      <c r="N178" s="1" t="s">
        <v>32</v>
      </c>
      <c r="O178" s="3">
        <v>17736</v>
      </c>
      <c r="P178">
        <v>4761904762</v>
      </c>
      <c r="Q178" s="3">
        <v>8868</v>
      </c>
      <c r="R178">
        <v>96</v>
      </c>
      <c r="S178" s="3">
        <f>G178*SuperMarket_Analysis[[#This Row],[Quantity]]</f>
        <v>17736</v>
      </c>
    </row>
    <row r="179" spans="1:19" x14ac:dyDescent="0.25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45</v>
      </c>
      <c r="G179" s="3">
        <v>2251</v>
      </c>
      <c r="H179">
        <v>7</v>
      </c>
      <c r="I179" s="3">
        <v>78785</v>
      </c>
      <c r="J179">
        <v>1654485</v>
      </c>
      <c r="K179" t="str">
        <f t="shared" si="2"/>
        <v>fevereiro</v>
      </c>
      <c r="L179" s="4">
        <v>43509</v>
      </c>
      <c r="M179" s="2">
        <v>0.4513888888888889</v>
      </c>
      <c r="N179" s="1" t="s">
        <v>32</v>
      </c>
      <c r="O179" s="3">
        <v>15757</v>
      </c>
      <c r="P179">
        <v>4761904762</v>
      </c>
      <c r="Q179" s="3">
        <v>78785</v>
      </c>
      <c r="R179">
        <v>48</v>
      </c>
      <c r="S179" s="3">
        <f>G179*SuperMarket_Analysis[[#This Row],[Quantity]]</f>
        <v>15757</v>
      </c>
    </row>
    <row r="180" spans="1:19" x14ac:dyDescent="0.25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177</v>
      </c>
      <c r="F180" s="1" t="s">
        <v>43</v>
      </c>
      <c r="G180" s="3">
        <v>7388</v>
      </c>
      <c r="H180">
        <v>6</v>
      </c>
      <c r="I180" s="3">
        <v>22164</v>
      </c>
      <c r="J180">
        <v>465444</v>
      </c>
      <c r="K180" t="str">
        <f t="shared" si="2"/>
        <v>março</v>
      </c>
      <c r="L180" s="4">
        <v>43547</v>
      </c>
      <c r="M180" s="2">
        <v>0.80277777777777781</v>
      </c>
      <c r="N180" s="1" t="s">
        <v>23</v>
      </c>
      <c r="O180" s="3">
        <v>44328</v>
      </c>
      <c r="P180">
        <v>4761904762</v>
      </c>
      <c r="Q180" s="3">
        <v>22164</v>
      </c>
      <c r="R180">
        <v>44</v>
      </c>
      <c r="S180" s="3">
        <f>G180*SuperMarket_Analysis[[#This Row],[Quantity]]</f>
        <v>44328</v>
      </c>
    </row>
    <row r="181" spans="1:19" x14ac:dyDescent="0.25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177</v>
      </c>
      <c r="F181" s="1" t="s">
        <v>22</v>
      </c>
      <c r="G181" s="3">
        <v>868</v>
      </c>
      <c r="H181">
        <v>3</v>
      </c>
      <c r="I181" s="3">
        <v>1302</v>
      </c>
      <c r="J181">
        <v>27342</v>
      </c>
      <c r="K181" t="str">
        <f t="shared" si="2"/>
        <v>janeiro</v>
      </c>
      <c r="L181" s="4">
        <v>43493</v>
      </c>
      <c r="M181" s="2">
        <v>0.69930555555555551</v>
      </c>
      <c r="N181" s="1" t="s">
        <v>23</v>
      </c>
      <c r="O181" s="3">
        <v>2604</v>
      </c>
      <c r="P181">
        <v>4761904762</v>
      </c>
      <c r="Q181" s="3">
        <v>1302</v>
      </c>
      <c r="R181">
        <v>99</v>
      </c>
      <c r="S181" s="3">
        <f>G181*SuperMarket_Analysis[[#This Row],[Quantity]]</f>
        <v>2604</v>
      </c>
    </row>
    <row r="182" spans="1:19" x14ac:dyDescent="0.25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177</v>
      </c>
      <c r="F182" s="1" t="s">
        <v>45</v>
      </c>
      <c r="G182" s="3">
        <v>6426</v>
      </c>
      <c r="H182">
        <v>7</v>
      </c>
      <c r="I182" s="3">
        <v>22491</v>
      </c>
      <c r="J182">
        <v>472311</v>
      </c>
      <c r="K182" t="str">
        <f t="shared" si="2"/>
        <v>fevereiro</v>
      </c>
      <c r="L182" s="4">
        <v>43505</v>
      </c>
      <c r="M182" s="2">
        <v>0.41666666666666669</v>
      </c>
      <c r="N182" s="1" t="s">
        <v>29</v>
      </c>
      <c r="O182" s="3">
        <v>44982</v>
      </c>
      <c r="P182">
        <v>4761904762</v>
      </c>
      <c r="Q182" s="3">
        <v>22491</v>
      </c>
      <c r="R182">
        <v>57</v>
      </c>
      <c r="S182" s="3">
        <f>G182*SuperMarket_Analysis[[#This Row],[Quantity]]</f>
        <v>44982</v>
      </c>
    </row>
    <row r="183" spans="1:19" x14ac:dyDescent="0.25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177</v>
      </c>
      <c r="F183" s="1" t="s">
        <v>43</v>
      </c>
      <c r="G183" s="3">
        <v>3847</v>
      </c>
      <c r="H183">
        <v>8</v>
      </c>
      <c r="I183" s="3">
        <v>15388</v>
      </c>
      <c r="J183">
        <v>323148</v>
      </c>
      <c r="K183" t="str">
        <f t="shared" si="2"/>
        <v>janeiro</v>
      </c>
      <c r="L183" s="4">
        <v>43488</v>
      </c>
      <c r="M183" s="2">
        <v>0.49375000000000002</v>
      </c>
      <c r="N183" s="1" t="s">
        <v>29</v>
      </c>
      <c r="O183" s="3">
        <v>30776</v>
      </c>
      <c r="P183">
        <v>4761904762</v>
      </c>
      <c r="Q183" s="3">
        <v>15388</v>
      </c>
      <c r="R183">
        <v>77</v>
      </c>
      <c r="S183" s="3">
        <f>G183*SuperMarket_Analysis[[#This Row],[Quantity]]</f>
        <v>30776</v>
      </c>
    </row>
    <row r="184" spans="1:19" x14ac:dyDescent="0.25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177</v>
      </c>
      <c r="F184" s="1" t="s">
        <v>35</v>
      </c>
      <c r="G184" s="3">
        <v>155</v>
      </c>
      <c r="H184">
        <v>10</v>
      </c>
      <c r="I184" s="3">
        <v>775</v>
      </c>
      <c r="J184">
        <v>16275</v>
      </c>
      <c r="K184" t="str">
        <f t="shared" si="2"/>
        <v>março</v>
      </c>
      <c r="L184" s="4">
        <v>43547</v>
      </c>
      <c r="M184" s="2">
        <v>0.4548611111111111</v>
      </c>
      <c r="N184" s="1" t="s">
        <v>23</v>
      </c>
      <c r="O184" s="3">
        <v>155</v>
      </c>
      <c r="P184">
        <v>4761904762</v>
      </c>
      <c r="Q184" s="3">
        <v>775</v>
      </c>
      <c r="R184">
        <v>8</v>
      </c>
      <c r="S184" s="3">
        <f>G184*SuperMarket_Analysis[[#This Row],[Quantity]]</f>
        <v>1550</v>
      </c>
    </row>
    <row r="185" spans="1:19" x14ac:dyDescent="0.25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177</v>
      </c>
      <c r="F185" s="1" t="s">
        <v>22</v>
      </c>
      <c r="G185" s="3">
        <v>3431</v>
      </c>
      <c r="H185">
        <v>8</v>
      </c>
      <c r="I185" s="3">
        <v>13724</v>
      </c>
      <c r="J185">
        <v>288204</v>
      </c>
      <c r="K185" t="str">
        <f t="shared" si="2"/>
        <v>janeiro</v>
      </c>
      <c r="L185" s="4">
        <v>43490</v>
      </c>
      <c r="M185" s="2">
        <v>0.625</v>
      </c>
      <c r="N185" s="1" t="s">
        <v>23</v>
      </c>
      <c r="O185" s="3">
        <v>27448</v>
      </c>
      <c r="P185">
        <v>4761904762</v>
      </c>
      <c r="Q185" s="3">
        <v>13724</v>
      </c>
      <c r="R185">
        <v>57</v>
      </c>
      <c r="S185" s="3">
        <f>G185*SuperMarket_Analysis[[#This Row],[Quantity]]</f>
        <v>27448</v>
      </c>
    </row>
    <row r="186" spans="1:19" x14ac:dyDescent="0.25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35</v>
      </c>
      <c r="G186" s="3">
        <v>1234</v>
      </c>
      <c r="H186">
        <v>7</v>
      </c>
      <c r="I186" s="3">
        <v>4319</v>
      </c>
      <c r="J186">
        <v>90699</v>
      </c>
      <c r="K186" t="str">
        <f t="shared" si="2"/>
        <v>março</v>
      </c>
      <c r="L186" s="4">
        <v>43528</v>
      </c>
      <c r="M186" s="2">
        <v>0.47152777777777777</v>
      </c>
      <c r="N186" s="1" t="s">
        <v>32</v>
      </c>
      <c r="O186" s="3">
        <v>8638</v>
      </c>
      <c r="P186">
        <v>4761904762</v>
      </c>
      <c r="Q186" s="3">
        <v>4319</v>
      </c>
      <c r="R186">
        <v>67</v>
      </c>
      <c r="S186" s="3">
        <f>G186*SuperMarket_Analysis[[#This Row],[Quantity]]</f>
        <v>8638</v>
      </c>
    </row>
    <row r="187" spans="1:19" x14ac:dyDescent="0.25">
      <c r="A187" s="1" t="s">
        <v>221</v>
      </c>
      <c r="B187" s="1" t="s">
        <v>41</v>
      </c>
      <c r="C187" s="1" t="s">
        <v>42</v>
      </c>
      <c r="D187" s="1" t="s">
        <v>20</v>
      </c>
      <c r="E187" s="1" t="s">
        <v>177</v>
      </c>
      <c r="F187" s="1" t="s">
        <v>43</v>
      </c>
      <c r="G187" s="3">
        <v>1808</v>
      </c>
      <c r="H187">
        <v>3</v>
      </c>
      <c r="I187" s="3">
        <v>2712</v>
      </c>
      <c r="J187">
        <v>56952</v>
      </c>
      <c r="K187" t="str">
        <f t="shared" si="2"/>
        <v>março</v>
      </c>
      <c r="L187" s="4">
        <v>43529</v>
      </c>
      <c r="M187" s="2">
        <v>0.82361111111111107</v>
      </c>
      <c r="N187" s="1" t="s">
        <v>23</v>
      </c>
      <c r="O187" s="3">
        <v>5424</v>
      </c>
      <c r="P187">
        <v>4761904762</v>
      </c>
      <c r="Q187" s="3">
        <v>2712</v>
      </c>
      <c r="R187">
        <v>8</v>
      </c>
      <c r="S187" s="3">
        <f>G187*SuperMarket_Analysis[[#This Row],[Quantity]]</f>
        <v>5424</v>
      </c>
    </row>
    <row r="188" spans="1:19" x14ac:dyDescent="0.25">
      <c r="A188" s="1" t="s">
        <v>222</v>
      </c>
      <c r="B188" s="1" t="s">
        <v>41</v>
      </c>
      <c r="C188" s="1" t="s">
        <v>42</v>
      </c>
      <c r="D188" s="1" t="s">
        <v>20</v>
      </c>
      <c r="E188" s="1" t="s">
        <v>21</v>
      </c>
      <c r="F188" s="1" t="s">
        <v>31</v>
      </c>
      <c r="G188" s="3">
        <v>9449</v>
      </c>
      <c r="H188">
        <v>8</v>
      </c>
      <c r="I188" s="3">
        <v>37796</v>
      </c>
      <c r="J188">
        <v>793716</v>
      </c>
      <c r="K188" t="str">
        <f t="shared" si="2"/>
        <v>março</v>
      </c>
      <c r="L188" s="4">
        <v>43527</v>
      </c>
      <c r="M188" s="2">
        <v>0.79166666666666663</v>
      </c>
      <c r="N188" s="1" t="s">
        <v>23</v>
      </c>
      <c r="O188" s="3">
        <v>75592</v>
      </c>
      <c r="P188">
        <v>4761904762</v>
      </c>
      <c r="Q188" s="3">
        <v>37796</v>
      </c>
      <c r="R188">
        <v>75</v>
      </c>
      <c r="S188" s="3">
        <f>G188*SuperMarket_Analysis[[#This Row],[Quantity]]</f>
        <v>75592</v>
      </c>
    </row>
    <row r="189" spans="1:19" x14ac:dyDescent="0.25">
      <c r="A189" s="1" t="s">
        <v>223</v>
      </c>
      <c r="B189" s="1" t="s">
        <v>41</v>
      </c>
      <c r="C189" s="1" t="s">
        <v>42</v>
      </c>
      <c r="D189" s="1" t="s">
        <v>20</v>
      </c>
      <c r="E189" s="1" t="s">
        <v>177</v>
      </c>
      <c r="F189" s="1" t="s">
        <v>31</v>
      </c>
      <c r="G189" s="3">
        <v>4647</v>
      </c>
      <c r="H189">
        <v>4</v>
      </c>
      <c r="I189" s="3">
        <v>9294</v>
      </c>
      <c r="J189">
        <v>195174</v>
      </c>
      <c r="K189" t="str">
        <f t="shared" si="2"/>
        <v>fevereiro</v>
      </c>
      <c r="L189" s="4">
        <v>43504</v>
      </c>
      <c r="M189" s="2">
        <v>0.45347222222222222</v>
      </c>
      <c r="N189" s="1" t="s">
        <v>29</v>
      </c>
      <c r="O189" s="3">
        <v>18588</v>
      </c>
      <c r="P189">
        <v>4761904762</v>
      </c>
      <c r="Q189" s="3">
        <v>9294</v>
      </c>
      <c r="R189">
        <v>7</v>
      </c>
      <c r="S189" s="3">
        <f>G189*SuperMarket_Analysis[[#This Row],[Quantity]]</f>
        <v>18588</v>
      </c>
    </row>
    <row r="190" spans="1:19" x14ac:dyDescent="0.25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177</v>
      </c>
      <c r="F190" s="1" t="s">
        <v>31</v>
      </c>
      <c r="G190" s="3">
        <v>7407</v>
      </c>
      <c r="H190">
        <v>1</v>
      </c>
      <c r="I190" s="3">
        <v>37035</v>
      </c>
      <c r="J190">
        <v>777735</v>
      </c>
      <c r="K190" t="str">
        <f t="shared" si="2"/>
        <v>fevereiro</v>
      </c>
      <c r="L190" s="4">
        <v>43506</v>
      </c>
      <c r="M190" s="2">
        <v>0.53472222222222221</v>
      </c>
      <c r="N190" s="1" t="s">
        <v>23</v>
      </c>
      <c r="O190" s="3">
        <v>7407</v>
      </c>
      <c r="P190">
        <v>4761904762</v>
      </c>
      <c r="Q190" s="3">
        <v>37035</v>
      </c>
      <c r="R190">
        <v>99</v>
      </c>
      <c r="S190" s="3">
        <f>G190*SuperMarket_Analysis[[#This Row],[Quantity]]</f>
        <v>7407</v>
      </c>
    </row>
    <row r="191" spans="1:19" x14ac:dyDescent="0.25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3">
        <v>6981</v>
      </c>
      <c r="H191">
        <v>4</v>
      </c>
      <c r="I191" s="3">
        <v>13962</v>
      </c>
      <c r="J191">
        <v>293202</v>
      </c>
      <c r="K191" t="str">
        <f t="shared" si="2"/>
        <v>janeiro</v>
      </c>
      <c r="L191" s="4">
        <v>43493</v>
      </c>
      <c r="M191" s="2">
        <v>0.86805555555555558</v>
      </c>
      <c r="N191" s="1" t="s">
        <v>32</v>
      </c>
      <c r="O191" s="3">
        <v>27924</v>
      </c>
      <c r="P191">
        <v>4761904762</v>
      </c>
      <c r="Q191" s="3">
        <v>13962</v>
      </c>
      <c r="R191">
        <v>59</v>
      </c>
      <c r="S191" s="3">
        <f>G191*SuperMarket_Analysis[[#This Row],[Quantity]]</f>
        <v>27924</v>
      </c>
    </row>
    <row r="192" spans="1:19" x14ac:dyDescent="0.25">
      <c r="A192" s="1" t="s">
        <v>226</v>
      </c>
      <c r="B192" s="1" t="s">
        <v>41</v>
      </c>
      <c r="C192" s="1" t="s">
        <v>42</v>
      </c>
      <c r="D192" s="1" t="s">
        <v>27</v>
      </c>
      <c r="E192" s="1" t="s">
        <v>21</v>
      </c>
      <c r="F192" s="1" t="s">
        <v>31</v>
      </c>
      <c r="G192" s="3">
        <v>7704</v>
      </c>
      <c r="H192">
        <v>3</v>
      </c>
      <c r="I192" s="3">
        <v>11556</v>
      </c>
      <c r="J192">
        <v>242676</v>
      </c>
      <c r="K192" t="str">
        <f t="shared" si="2"/>
        <v>fevereiro</v>
      </c>
      <c r="L192" s="4">
        <v>43507</v>
      </c>
      <c r="M192" s="2">
        <v>0.44374999999999998</v>
      </c>
      <c r="N192" s="1" t="s">
        <v>32</v>
      </c>
      <c r="O192" s="3">
        <v>23112</v>
      </c>
      <c r="P192">
        <v>4761904762</v>
      </c>
      <c r="Q192" s="3">
        <v>11556</v>
      </c>
      <c r="R192">
        <v>72</v>
      </c>
      <c r="S192" s="3">
        <f>G192*SuperMarket_Analysis[[#This Row],[Quantity]]</f>
        <v>23112</v>
      </c>
    </row>
    <row r="193" spans="1:19" x14ac:dyDescent="0.25">
      <c r="A193" s="1" t="s">
        <v>227</v>
      </c>
      <c r="B193" s="1" t="s">
        <v>41</v>
      </c>
      <c r="C193" s="1" t="s">
        <v>42</v>
      </c>
      <c r="D193" s="1" t="s">
        <v>27</v>
      </c>
      <c r="E193" s="1" t="s">
        <v>21</v>
      </c>
      <c r="F193" s="1" t="s">
        <v>45</v>
      </c>
      <c r="G193" s="3">
        <v>7352</v>
      </c>
      <c r="H193">
        <v>2</v>
      </c>
      <c r="I193" s="3">
        <v>7352</v>
      </c>
      <c r="J193">
        <v>154392</v>
      </c>
      <c r="K193" t="str">
        <f t="shared" si="2"/>
        <v>janeiro</v>
      </c>
      <c r="L193" s="4">
        <v>43480</v>
      </c>
      <c r="M193" s="2">
        <v>0.57013888888888886</v>
      </c>
      <c r="N193" s="1" t="s">
        <v>23</v>
      </c>
      <c r="O193" s="3">
        <v>14704</v>
      </c>
      <c r="P193">
        <v>4761904762</v>
      </c>
      <c r="Q193" s="3">
        <v>7352</v>
      </c>
      <c r="R193">
        <v>46</v>
      </c>
      <c r="S193" s="3">
        <f>G193*SuperMarket_Analysis[[#This Row],[Quantity]]</f>
        <v>14704</v>
      </c>
    </row>
    <row r="194" spans="1:19" x14ac:dyDescent="0.25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43</v>
      </c>
      <c r="G194" s="3">
        <v>878</v>
      </c>
      <c r="H194">
        <v>9</v>
      </c>
      <c r="I194" s="3">
        <v>3951</v>
      </c>
      <c r="J194">
        <v>82971</v>
      </c>
      <c r="K194" t="str">
        <f t="shared" ref="K194:K257" si="3">TEXT(L194, "mmmm")</f>
        <v>março</v>
      </c>
      <c r="L194" s="4">
        <v>43540</v>
      </c>
      <c r="M194" s="2">
        <v>0.79722222222222228</v>
      </c>
      <c r="N194" s="1" t="s">
        <v>29</v>
      </c>
      <c r="O194" s="3">
        <v>7902</v>
      </c>
      <c r="P194">
        <v>4761904762</v>
      </c>
      <c r="Q194" s="3">
        <v>3951</v>
      </c>
      <c r="R194">
        <v>92</v>
      </c>
      <c r="S194" s="3">
        <f>G194*SuperMarket_Analysis[[#This Row],[Quantity]]</f>
        <v>7902</v>
      </c>
    </row>
    <row r="195" spans="1:19" x14ac:dyDescent="0.25">
      <c r="A195" s="1" t="s">
        <v>229</v>
      </c>
      <c r="B195" s="1" t="s">
        <v>41</v>
      </c>
      <c r="C195" s="1" t="s">
        <v>42</v>
      </c>
      <c r="D195" s="1" t="s">
        <v>27</v>
      </c>
      <c r="E195" s="1" t="s">
        <v>177</v>
      </c>
      <c r="F195" s="1" t="s">
        <v>31</v>
      </c>
      <c r="G195" s="3">
        <v>2555</v>
      </c>
      <c r="H195">
        <v>4</v>
      </c>
      <c r="I195" s="3">
        <v>511</v>
      </c>
      <c r="J195">
        <v>10731</v>
      </c>
      <c r="K195" t="str">
        <f t="shared" si="3"/>
        <v>janeiro</v>
      </c>
      <c r="L195" s="4">
        <v>43491</v>
      </c>
      <c r="M195" s="2">
        <v>0.84930555555555554</v>
      </c>
      <c r="N195" s="1" t="s">
        <v>23</v>
      </c>
      <c r="O195" s="3">
        <v>1022</v>
      </c>
      <c r="P195">
        <v>4761904762</v>
      </c>
      <c r="Q195" s="3">
        <v>511</v>
      </c>
      <c r="R195">
        <v>57</v>
      </c>
      <c r="S195" s="3">
        <f>G195*SuperMarket_Analysis[[#This Row],[Quantity]]</f>
        <v>10220</v>
      </c>
    </row>
    <row r="196" spans="1:19" x14ac:dyDescent="0.25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177</v>
      </c>
      <c r="F196" s="1" t="s">
        <v>28</v>
      </c>
      <c r="G196" s="3">
        <v>3271</v>
      </c>
      <c r="H196">
        <v>5</v>
      </c>
      <c r="I196" s="3">
        <v>81775</v>
      </c>
      <c r="J196">
        <v>1717275</v>
      </c>
      <c r="K196" t="str">
        <f t="shared" si="3"/>
        <v>março</v>
      </c>
      <c r="L196" s="4">
        <v>43543</v>
      </c>
      <c r="M196" s="2">
        <v>0.47916666666666669</v>
      </c>
      <c r="N196" s="1" t="s">
        <v>32</v>
      </c>
      <c r="O196" s="3">
        <v>16355</v>
      </c>
      <c r="P196">
        <v>4761904762</v>
      </c>
      <c r="Q196" s="3">
        <v>81775</v>
      </c>
      <c r="R196">
        <v>99</v>
      </c>
      <c r="S196" s="3">
        <f>G196*SuperMarket_Analysis[[#This Row],[Quantity]]</f>
        <v>16355</v>
      </c>
    </row>
    <row r="197" spans="1:19" x14ac:dyDescent="0.25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45</v>
      </c>
      <c r="G197" s="3">
        <v>7429</v>
      </c>
      <c r="H197">
        <v>1</v>
      </c>
      <c r="I197" s="3">
        <v>37145</v>
      </c>
      <c r="J197">
        <v>780045</v>
      </c>
      <c r="K197" t="str">
        <f t="shared" si="3"/>
        <v>janeiro</v>
      </c>
      <c r="L197" s="4">
        <v>43478</v>
      </c>
      <c r="M197" s="2">
        <v>0.8125</v>
      </c>
      <c r="N197" s="1" t="s">
        <v>29</v>
      </c>
      <c r="O197" s="3">
        <v>7429</v>
      </c>
      <c r="P197">
        <v>4761904762</v>
      </c>
      <c r="Q197" s="3">
        <v>37145</v>
      </c>
      <c r="R197">
        <v>5</v>
      </c>
      <c r="S197" s="3">
        <f>G197*SuperMarket_Analysis[[#This Row],[Quantity]]</f>
        <v>7429</v>
      </c>
    </row>
    <row r="198" spans="1:19" x14ac:dyDescent="0.25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177</v>
      </c>
      <c r="F198" s="1" t="s">
        <v>22</v>
      </c>
      <c r="G198" s="3">
        <v>437</v>
      </c>
      <c r="H198">
        <v>2</v>
      </c>
      <c r="I198" s="3">
        <v>437</v>
      </c>
      <c r="J198">
        <v>9177</v>
      </c>
      <c r="K198" t="str">
        <f t="shared" si="3"/>
        <v>março</v>
      </c>
      <c r="L198" s="4">
        <v>43550</v>
      </c>
      <c r="M198" s="2">
        <v>0.75208333333333333</v>
      </c>
      <c r="N198" s="1" t="s">
        <v>29</v>
      </c>
      <c r="O198" s="3">
        <v>874</v>
      </c>
      <c r="P198">
        <v>4761904762</v>
      </c>
      <c r="Q198" s="3">
        <v>437</v>
      </c>
      <c r="R198">
        <v>49</v>
      </c>
      <c r="S198" s="3">
        <f>G198*SuperMarket_Analysis[[#This Row],[Quantity]]</f>
        <v>874</v>
      </c>
    </row>
    <row r="199" spans="1:19" x14ac:dyDescent="0.25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3">
        <v>2529</v>
      </c>
      <c r="H199">
        <v>1</v>
      </c>
      <c r="I199" s="3">
        <v>12645</v>
      </c>
      <c r="J199">
        <v>265545</v>
      </c>
      <c r="K199" t="str">
        <f t="shared" si="3"/>
        <v>março</v>
      </c>
      <c r="L199" s="4">
        <v>43547</v>
      </c>
      <c r="M199" s="2">
        <v>0.42569444444444443</v>
      </c>
      <c r="N199" s="1" t="s">
        <v>23</v>
      </c>
      <c r="O199" s="3">
        <v>2529</v>
      </c>
      <c r="P199">
        <v>4761904762</v>
      </c>
      <c r="Q199" s="3">
        <v>12645</v>
      </c>
      <c r="R199">
        <v>61</v>
      </c>
      <c r="S199" s="3">
        <f>G199*SuperMarket_Analysis[[#This Row],[Quantity]]</f>
        <v>2529</v>
      </c>
    </row>
    <row r="200" spans="1:19" x14ac:dyDescent="0.25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177</v>
      </c>
      <c r="F200" s="1" t="s">
        <v>22</v>
      </c>
      <c r="G200" s="3">
        <v>415</v>
      </c>
      <c r="H200">
        <v>4</v>
      </c>
      <c r="I200" s="3">
        <v>83</v>
      </c>
      <c r="J200">
        <v>1743</v>
      </c>
      <c r="K200" t="str">
        <f t="shared" si="3"/>
        <v>março</v>
      </c>
      <c r="L200" s="4">
        <v>43536</v>
      </c>
      <c r="M200" s="2">
        <v>0.83194444444444449</v>
      </c>
      <c r="N200" s="1" t="s">
        <v>32</v>
      </c>
      <c r="O200" s="3">
        <v>166</v>
      </c>
      <c r="P200">
        <v>4761904762</v>
      </c>
      <c r="Q200" s="3">
        <v>83</v>
      </c>
      <c r="R200">
        <v>82</v>
      </c>
      <c r="S200" s="3">
        <f>G200*SuperMarket_Analysis[[#This Row],[Quantity]]</f>
        <v>1660</v>
      </c>
    </row>
    <row r="201" spans="1:19" x14ac:dyDescent="0.25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43</v>
      </c>
      <c r="G201" s="3">
        <v>7139</v>
      </c>
      <c r="H201">
        <v>5</v>
      </c>
      <c r="I201" s="3">
        <v>178475</v>
      </c>
      <c r="J201">
        <v>3747975</v>
      </c>
      <c r="K201" t="str">
        <f t="shared" si="3"/>
        <v>fevereiro</v>
      </c>
      <c r="L201" s="4">
        <v>43513</v>
      </c>
      <c r="M201" s="2">
        <v>0.83125000000000004</v>
      </c>
      <c r="N201" s="1" t="s">
        <v>32</v>
      </c>
      <c r="O201" s="3">
        <v>35695</v>
      </c>
      <c r="P201">
        <v>4761904762</v>
      </c>
      <c r="Q201" s="3">
        <v>178475</v>
      </c>
      <c r="R201">
        <v>55</v>
      </c>
      <c r="S201" s="3">
        <f>G201*SuperMarket_Analysis[[#This Row],[Quantity]]</f>
        <v>35695</v>
      </c>
    </row>
    <row r="202" spans="1:19" x14ac:dyDescent="0.25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35</v>
      </c>
      <c r="G202" s="3">
        <v>1915</v>
      </c>
      <c r="H202">
        <v>6</v>
      </c>
      <c r="I202" s="3">
        <v>5745</v>
      </c>
      <c r="J202">
        <v>120645</v>
      </c>
      <c r="K202" t="str">
        <f t="shared" si="3"/>
        <v>janeiro</v>
      </c>
      <c r="L202" s="4">
        <v>43494</v>
      </c>
      <c r="M202" s="2">
        <v>0.41736111111111113</v>
      </c>
      <c r="N202" s="1" t="s">
        <v>32</v>
      </c>
      <c r="O202" s="3">
        <v>1149</v>
      </c>
      <c r="P202">
        <v>4761904762</v>
      </c>
      <c r="Q202" s="3">
        <v>5745</v>
      </c>
      <c r="R202">
        <v>68</v>
      </c>
      <c r="S202" s="3">
        <f>G202*SuperMarket_Analysis[[#This Row],[Quantity]]</f>
        <v>11490</v>
      </c>
    </row>
    <row r="203" spans="1:19" x14ac:dyDescent="0.25">
      <c r="A203" s="1" t="s">
        <v>237</v>
      </c>
      <c r="B203" s="1" t="s">
        <v>41</v>
      </c>
      <c r="C203" s="1" t="s">
        <v>42</v>
      </c>
      <c r="D203" s="1" t="s">
        <v>20</v>
      </c>
      <c r="E203" s="1" t="s">
        <v>21</v>
      </c>
      <c r="F203" s="1" t="s">
        <v>28</v>
      </c>
      <c r="G203" s="3">
        <v>5749</v>
      </c>
      <c r="H203">
        <v>4</v>
      </c>
      <c r="I203" s="3">
        <v>11498</v>
      </c>
      <c r="J203">
        <v>241458</v>
      </c>
      <c r="K203" t="str">
        <f t="shared" si="3"/>
        <v>março</v>
      </c>
      <c r="L203" s="4">
        <v>43539</v>
      </c>
      <c r="M203" s="2">
        <v>0.49791666666666667</v>
      </c>
      <c r="N203" s="1" t="s">
        <v>29</v>
      </c>
      <c r="O203" s="3">
        <v>22996</v>
      </c>
      <c r="P203">
        <v>4761904762</v>
      </c>
      <c r="Q203" s="3">
        <v>11498</v>
      </c>
      <c r="R203">
        <v>66</v>
      </c>
      <c r="S203" s="3">
        <f>G203*SuperMarket_Analysis[[#This Row],[Quantity]]</f>
        <v>22996</v>
      </c>
    </row>
    <row r="204" spans="1:19" x14ac:dyDescent="0.25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177</v>
      </c>
      <c r="F204" s="1" t="s">
        <v>28</v>
      </c>
      <c r="G204" s="3">
        <v>6141</v>
      </c>
      <c r="H204">
        <v>7</v>
      </c>
      <c r="I204" s="3">
        <v>214935</v>
      </c>
      <c r="J204">
        <v>4513635</v>
      </c>
      <c r="K204" t="str">
        <f t="shared" si="3"/>
        <v>janeiro</v>
      </c>
      <c r="L204" s="4">
        <v>43479</v>
      </c>
      <c r="M204" s="2">
        <v>0.41805555555555557</v>
      </c>
      <c r="N204" s="1" t="s">
        <v>29</v>
      </c>
      <c r="O204" s="3">
        <v>42987</v>
      </c>
      <c r="P204">
        <v>4761904762</v>
      </c>
      <c r="Q204" s="3">
        <v>214935</v>
      </c>
      <c r="R204">
        <v>98</v>
      </c>
      <c r="S204" s="3">
        <f>G204*SuperMarket_Analysis[[#This Row],[Quantity]]</f>
        <v>42987</v>
      </c>
    </row>
    <row r="205" spans="1:19" x14ac:dyDescent="0.25">
      <c r="A205" s="1" t="s">
        <v>239</v>
      </c>
      <c r="B205" s="1" t="s">
        <v>41</v>
      </c>
      <c r="C205" s="1" t="s">
        <v>42</v>
      </c>
      <c r="D205" s="1" t="s">
        <v>20</v>
      </c>
      <c r="E205" s="1" t="s">
        <v>177</v>
      </c>
      <c r="F205" s="1" t="s">
        <v>22</v>
      </c>
      <c r="G205" s="3">
        <v>259</v>
      </c>
      <c r="H205">
        <v>10</v>
      </c>
      <c r="I205" s="3">
        <v>1295</v>
      </c>
      <c r="J205">
        <v>27195</v>
      </c>
      <c r="K205" t="str">
        <f t="shared" si="3"/>
        <v>fevereiro</v>
      </c>
      <c r="L205" s="4">
        <v>43502</v>
      </c>
      <c r="M205" s="2">
        <v>0.61875000000000002</v>
      </c>
      <c r="N205" s="1" t="s">
        <v>23</v>
      </c>
      <c r="O205" s="3">
        <v>259</v>
      </c>
      <c r="P205">
        <v>4761904762</v>
      </c>
      <c r="Q205" s="3">
        <v>1295</v>
      </c>
      <c r="R205">
        <v>87</v>
      </c>
      <c r="S205" s="3">
        <f>G205*SuperMarket_Analysis[[#This Row],[Quantity]]</f>
        <v>2590</v>
      </c>
    </row>
    <row r="206" spans="1:19" x14ac:dyDescent="0.25">
      <c r="A206" s="1" t="s">
        <v>240</v>
      </c>
      <c r="B206" s="1" t="s">
        <v>41</v>
      </c>
      <c r="C206" s="1" t="s">
        <v>42</v>
      </c>
      <c r="D206" s="1" t="s">
        <v>20</v>
      </c>
      <c r="E206" s="1" t="s">
        <v>177</v>
      </c>
      <c r="F206" s="1" t="s">
        <v>31</v>
      </c>
      <c r="G206" s="3">
        <v>1777</v>
      </c>
      <c r="H206">
        <v>5</v>
      </c>
      <c r="I206" s="3">
        <v>44425</v>
      </c>
      <c r="J206">
        <v>932925</v>
      </c>
      <c r="K206" t="str">
        <f t="shared" si="3"/>
        <v>fevereiro</v>
      </c>
      <c r="L206" s="4">
        <v>43511</v>
      </c>
      <c r="M206" s="2">
        <v>0.52916666666666667</v>
      </c>
      <c r="N206" s="1" t="s">
        <v>32</v>
      </c>
      <c r="O206" s="3">
        <v>8885</v>
      </c>
      <c r="P206">
        <v>4761904762</v>
      </c>
      <c r="Q206" s="3">
        <v>44425</v>
      </c>
      <c r="R206">
        <v>54</v>
      </c>
      <c r="S206" s="3">
        <f>G206*SuperMarket_Analysis[[#This Row],[Quantity]]</f>
        <v>8885</v>
      </c>
    </row>
    <row r="207" spans="1:19" x14ac:dyDescent="0.25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3">
        <v>2303</v>
      </c>
      <c r="H207">
        <v>9</v>
      </c>
      <c r="I207" s="3">
        <v>103635</v>
      </c>
      <c r="J207">
        <v>2176335</v>
      </c>
      <c r="K207" t="str">
        <f t="shared" si="3"/>
        <v>janeiro</v>
      </c>
      <c r="L207" s="4">
        <v>43468</v>
      </c>
      <c r="M207" s="2">
        <v>0.50138888888888888</v>
      </c>
      <c r="N207" s="1" t="s">
        <v>23</v>
      </c>
      <c r="O207" s="3">
        <v>20727</v>
      </c>
      <c r="P207">
        <v>4761904762</v>
      </c>
      <c r="Q207" s="3">
        <v>103635</v>
      </c>
      <c r="R207">
        <v>79</v>
      </c>
      <c r="S207" s="3">
        <f>G207*SuperMarket_Analysis[[#This Row],[Quantity]]</f>
        <v>20727</v>
      </c>
    </row>
    <row r="208" spans="1:19" x14ac:dyDescent="0.25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3">
        <v>6665</v>
      </c>
      <c r="H208">
        <v>9</v>
      </c>
      <c r="I208" s="3">
        <v>299925</v>
      </c>
      <c r="J208">
        <v>6298425</v>
      </c>
      <c r="K208" t="str">
        <f t="shared" si="3"/>
        <v>janeiro</v>
      </c>
      <c r="L208" s="4">
        <v>43469</v>
      </c>
      <c r="M208" s="2">
        <v>0.7631944444444444</v>
      </c>
      <c r="N208" s="1" t="s">
        <v>32</v>
      </c>
      <c r="O208" s="3">
        <v>59985</v>
      </c>
      <c r="P208">
        <v>4761904762</v>
      </c>
      <c r="Q208" s="3">
        <v>299925</v>
      </c>
      <c r="R208">
        <v>97</v>
      </c>
      <c r="S208" s="3">
        <f>G208*SuperMarket_Analysis[[#This Row],[Quantity]]</f>
        <v>59985</v>
      </c>
    </row>
    <row r="209" spans="1:19" x14ac:dyDescent="0.25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3">
        <v>2853</v>
      </c>
      <c r="H209">
        <v>10</v>
      </c>
      <c r="I209" s="3">
        <v>14265</v>
      </c>
      <c r="J209">
        <v>299565</v>
      </c>
      <c r="K209" t="str">
        <f t="shared" si="3"/>
        <v>março</v>
      </c>
      <c r="L209" s="4">
        <v>43542</v>
      </c>
      <c r="M209" s="2">
        <v>0.73472222222222228</v>
      </c>
      <c r="N209" s="1" t="s">
        <v>23</v>
      </c>
      <c r="O209" s="3">
        <v>2853</v>
      </c>
      <c r="P209">
        <v>4761904762</v>
      </c>
      <c r="Q209" s="3">
        <v>14265</v>
      </c>
      <c r="R209">
        <v>78</v>
      </c>
      <c r="S209" s="3">
        <f>G209*SuperMarket_Analysis[[#This Row],[Quantity]]</f>
        <v>28530</v>
      </c>
    </row>
    <row r="210" spans="1:19" x14ac:dyDescent="0.25">
      <c r="A210" s="1" t="s">
        <v>244</v>
      </c>
      <c r="B210" s="1" t="s">
        <v>41</v>
      </c>
      <c r="C210" s="1" t="s">
        <v>42</v>
      </c>
      <c r="D210" s="1" t="s">
        <v>27</v>
      </c>
      <c r="E210" s="1" t="s">
        <v>21</v>
      </c>
      <c r="F210" s="1" t="s">
        <v>45</v>
      </c>
      <c r="G210" s="3">
        <v>3037</v>
      </c>
      <c r="H210">
        <v>3</v>
      </c>
      <c r="I210" s="3">
        <v>45555</v>
      </c>
      <c r="J210">
        <v>956655</v>
      </c>
      <c r="K210" t="str">
        <f t="shared" si="3"/>
        <v>março</v>
      </c>
      <c r="L210" s="4">
        <v>43552</v>
      </c>
      <c r="M210" s="2">
        <v>0.57013888888888886</v>
      </c>
      <c r="N210" s="1" t="s">
        <v>23</v>
      </c>
      <c r="O210" s="3">
        <v>9111</v>
      </c>
      <c r="P210">
        <v>4761904762</v>
      </c>
      <c r="Q210" s="3">
        <v>45555</v>
      </c>
      <c r="R210">
        <v>51</v>
      </c>
      <c r="S210" s="3">
        <f>G210*SuperMarket_Analysis[[#This Row],[Quantity]]</f>
        <v>9111</v>
      </c>
    </row>
    <row r="211" spans="1:19" x14ac:dyDescent="0.25">
      <c r="A211" s="1" t="s">
        <v>245</v>
      </c>
      <c r="B211" s="1" t="s">
        <v>41</v>
      </c>
      <c r="C211" s="1" t="s">
        <v>42</v>
      </c>
      <c r="D211" s="1" t="s">
        <v>27</v>
      </c>
      <c r="E211" s="1" t="s">
        <v>21</v>
      </c>
      <c r="F211" s="1" t="s">
        <v>28</v>
      </c>
      <c r="G211" s="3">
        <v>9973</v>
      </c>
      <c r="H211">
        <v>9</v>
      </c>
      <c r="I211" s="3">
        <v>448785</v>
      </c>
      <c r="J211">
        <v>9424485</v>
      </c>
      <c r="K211" t="str">
        <f t="shared" si="3"/>
        <v>março</v>
      </c>
      <c r="L211" s="4">
        <v>43526</v>
      </c>
      <c r="M211" s="2">
        <v>0.8208333333333333</v>
      </c>
      <c r="N211" s="1" t="s">
        <v>32</v>
      </c>
      <c r="O211" s="3">
        <v>89757</v>
      </c>
      <c r="P211">
        <v>4761904762</v>
      </c>
      <c r="Q211" s="3">
        <v>448785</v>
      </c>
      <c r="R211">
        <v>65</v>
      </c>
      <c r="S211" s="3">
        <f>G211*SuperMarket_Analysis[[#This Row],[Quantity]]</f>
        <v>89757</v>
      </c>
    </row>
    <row r="212" spans="1:19" x14ac:dyDescent="0.25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177</v>
      </c>
      <c r="F212" s="1" t="s">
        <v>28</v>
      </c>
      <c r="G212" s="3">
        <v>2623</v>
      </c>
      <c r="H212">
        <v>9</v>
      </c>
      <c r="I212" s="3">
        <v>118035</v>
      </c>
      <c r="J212">
        <v>2478735</v>
      </c>
      <c r="K212" t="str">
        <f t="shared" si="3"/>
        <v>janeiro</v>
      </c>
      <c r="L212" s="4">
        <v>43490</v>
      </c>
      <c r="M212" s="2">
        <v>0.85</v>
      </c>
      <c r="N212" s="1" t="s">
        <v>23</v>
      </c>
      <c r="O212" s="3">
        <v>23607</v>
      </c>
      <c r="P212">
        <v>4761904762</v>
      </c>
      <c r="Q212" s="3">
        <v>118035</v>
      </c>
      <c r="R212">
        <v>59</v>
      </c>
      <c r="S212" s="3">
        <f>G212*SuperMarket_Analysis[[#This Row],[Quantity]]</f>
        <v>23607</v>
      </c>
    </row>
    <row r="213" spans="1:19" x14ac:dyDescent="0.25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43</v>
      </c>
      <c r="G213" s="3">
        <v>9326</v>
      </c>
      <c r="H213">
        <v>9</v>
      </c>
      <c r="I213" s="3">
        <v>41967</v>
      </c>
      <c r="J213">
        <v>881307</v>
      </c>
      <c r="K213" t="str">
        <f t="shared" si="3"/>
        <v>janeiro</v>
      </c>
      <c r="L213" s="4">
        <v>43481</v>
      </c>
      <c r="M213" s="2">
        <v>0.75555555555555554</v>
      </c>
      <c r="N213" s="1" t="s">
        <v>29</v>
      </c>
      <c r="O213" s="3">
        <v>83934</v>
      </c>
      <c r="P213">
        <v>4761904762</v>
      </c>
      <c r="Q213" s="3">
        <v>41967</v>
      </c>
      <c r="R213">
        <v>88</v>
      </c>
      <c r="S213" s="3">
        <f>G213*SuperMarket_Analysis[[#This Row],[Quantity]]</f>
        <v>83934</v>
      </c>
    </row>
    <row r="214" spans="1:19" x14ac:dyDescent="0.25">
      <c r="A214" s="1" t="s">
        <v>248</v>
      </c>
      <c r="B214" s="1" t="s">
        <v>41</v>
      </c>
      <c r="C214" s="1" t="s">
        <v>42</v>
      </c>
      <c r="D214" s="1" t="s">
        <v>27</v>
      </c>
      <c r="E214" s="1" t="s">
        <v>177</v>
      </c>
      <c r="F214" s="1" t="s">
        <v>31</v>
      </c>
      <c r="G214" s="3">
        <v>9236</v>
      </c>
      <c r="H214">
        <v>5</v>
      </c>
      <c r="I214" s="3">
        <v>2309</v>
      </c>
      <c r="J214">
        <v>48489</v>
      </c>
      <c r="K214" t="str">
        <f t="shared" si="3"/>
        <v>março</v>
      </c>
      <c r="L214" s="4">
        <v>43544</v>
      </c>
      <c r="M214" s="2">
        <v>0.80347222222222225</v>
      </c>
      <c r="N214" s="1" t="s">
        <v>23</v>
      </c>
      <c r="O214" s="3">
        <v>4618</v>
      </c>
      <c r="P214">
        <v>4761904762</v>
      </c>
      <c r="Q214" s="3">
        <v>2309</v>
      </c>
      <c r="R214">
        <v>49</v>
      </c>
      <c r="S214" s="3">
        <f>G214*SuperMarket_Analysis[[#This Row],[Quantity]]</f>
        <v>46180</v>
      </c>
    </row>
    <row r="215" spans="1:19" x14ac:dyDescent="0.25">
      <c r="A215" s="1" t="s">
        <v>249</v>
      </c>
      <c r="B215" s="1" t="s">
        <v>41</v>
      </c>
      <c r="C215" s="1" t="s">
        <v>42</v>
      </c>
      <c r="D215" s="1" t="s">
        <v>27</v>
      </c>
      <c r="E215" s="1" t="s">
        <v>177</v>
      </c>
      <c r="F215" s="1" t="s">
        <v>35</v>
      </c>
      <c r="G215" s="3">
        <v>4642</v>
      </c>
      <c r="H215">
        <v>3</v>
      </c>
      <c r="I215" s="3">
        <v>6963</v>
      </c>
      <c r="J215">
        <v>146223</v>
      </c>
      <c r="K215" t="str">
        <f t="shared" si="3"/>
        <v>janeiro</v>
      </c>
      <c r="L215" s="4">
        <v>43469</v>
      </c>
      <c r="M215" s="2">
        <v>0.55833333333333335</v>
      </c>
      <c r="N215" s="1" t="s">
        <v>32</v>
      </c>
      <c r="O215" s="3">
        <v>13926</v>
      </c>
      <c r="P215">
        <v>4761904762</v>
      </c>
      <c r="Q215" s="3">
        <v>6963</v>
      </c>
      <c r="R215">
        <v>44</v>
      </c>
      <c r="S215" s="3">
        <f>G215*SuperMarket_Analysis[[#This Row],[Quantity]]</f>
        <v>13926</v>
      </c>
    </row>
    <row r="216" spans="1:19" x14ac:dyDescent="0.25">
      <c r="A216" s="1" t="s">
        <v>250</v>
      </c>
      <c r="B216" s="1" t="s">
        <v>41</v>
      </c>
      <c r="C216" s="1" t="s">
        <v>42</v>
      </c>
      <c r="D216" s="1" t="s">
        <v>20</v>
      </c>
      <c r="E216" s="1" t="s">
        <v>21</v>
      </c>
      <c r="F216" s="1" t="s">
        <v>35</v>
      </c>
      <c r="G216" s="3">
        <v>2961</v>
      </c>
      <c r="H216">
        <v>7</v>
      </c>
      <c r="I216" s="3">
        <v>103635</v>
      </c>
      <c r="J216">
        <v>2176335</v>
      </c>
      <c r="K216" t="str">
        <f t="shared" si="3"/>
        <v>março</v>
      </c>
      <c r="L216" s="4">
        <v>43535</v>
      </c>
      <c r="M216" s="2">
        <v>0.66180555555555554</v>
      </c>
      <c r="N216" s="1" t="s">
        <v>29</v>
      </c>
      <c r="O216" s="3">
        <v>20727</v>
      </c>
      <c r="P216">
        <v>4761904762</v>
      </c>
      <c r="Q216" s="3">
        <v>103635</v>
      </c>
      <c r="R216">
        <v>65</v>
      </c>
      <c r="S216" s="3">
        <f>G216*SuperMarket_Analysis[[#This Row],[Quantity]]</f>
        <v>20727</v>
      </c>
    </row>
    <row r="217" spans="1:19" x14ac:dyDescent="0.25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177</v>
      </c>
      <c r="F217" s="1" t="s">
        <v>31</v>
      </c>
      <c r="G217" s="3">
        <v>1828</v>
      </c>
      <c r="H217">
        <v>1</v>
      </c>
      <c r="I217" s="3">
        <v>914</v>
      </c>
      <c r="J217">
        <v>19194</v>
      </c>
      <c r="K217" t="str">
        <f t="shared" si="3"/>
        <v>março</v>
      </c>
      <c r="L217" s="4">
        <v>43546</v>
      </c>
      <c r="M217" s="2">
        <v>0.62847222222222221</v>
      </c>
      <c r="N217" s="1" t="s">
        <v>32</v>
      </c>
      <c r="O217" s="3">
        <v>1828</v>
      </c>
      <c r="P217">
        <v>4761904762</v>
      </c>
      <c r="Q217" s="3">
        <v>914</v>
      </c>
      <c r="R217">
        <v>83</v>
      </c>
      <c r="S217" s="3">
        <f>G217*SuperMarket_Analysis[[#This Row],[Quantity]]</f>
        <v>1828</v>
      </c>
    </row>
    <row r="218" spans="1:19" x14ac:dyDescent="0.25">
      <c r="A218" s="1" t="s">
        <v>252</v>
      </c>
      <c r="B218" s="1" t="s">
        <v>41</v>
      </c>
      <c r="C218" s="1" t="s">
        <v>42</v>
      </c>
      <c r="D218" s="1" t="s">
        <v>27</v>
      </c>
      <c r="E218" s="1" t="s">
        <v>21</v>
      </c>
      <c r="F218" s="1" t="s">
        <v>35</v>
      </c>
      <c r="G218" s="3">
        <v>2477</v>
      </c>
      <c r="H218">
        <v>5</v>
      </c>
      <c r="I218" s="3">
        <v>61925</v>
      </c>
      <c r="J218">
        <v>1300425</v>
      </c>
      <c r="K218" t="str">
        <f t="shared" si="3"/>
        <v>março</v>
      </c>
      <c r="L218" s="4">
        <v>43548</v>
      </c>
      <c r="M218" s="2">
        <v>0.76875000000000004</v>
      </c>
      <c r="N218" s="1" t="s">
        <v>29</v>
      </c>
      <c r="O218" s="3">
        <v>12385</v>
      </c>
      <c r="P218">
        <v>4761904762</v>
      </c>
      <c r="Q218" s="3">
        <v>61925</v>
      </c>
      <c r="R218">
        <v>85</v>
      </c>
      <c r="S218" s="3">
        <f>G218*SuperMarket_Analysis[[#This Row],[Quantity]]</f>
        <v>12385</v>
      </c>
    </row>
    <row r="219" spans="1:19" x14ac:dyDescent="0.25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3">
        <v>9464</v>
      </c>
      <c r="H219">
        <v>3</v>
      </c>
      <c r="I219" s="3">
        <v>14196</v>
      </c>
      <c r="J219">
        <v>298116</v>
      </c>
      <c r="K219" t="str">
        <f t="shared" si="3"/>
        <v>fevereiro</v>
      </c>
      <c r="L219" s="4">
        <v>43517</v>
      </c>
      <c r="M219" s="2">
        <v>0.70486111111111116</v>
      </c>
      <c r="N219" s="1" t="s">
        <v>29</v>
      </c>
      <c r="O219" s="3">
        <v>28392</v>
      </c>
      <c r="P219">
        <v>4761904762</v>
      </c>
      <c r="Q219" s="3">
        <v>14196</v>
      </c>
      <c r="R219">
        <v>55</v>
      </c>
      <c r="S219" s="3">
        <f>G219*SuperMarket_Analysis[[#This Row],[Quantity]]</f>
        <v>28392</v>
      </c>
    </row>
    <row r="220" spans="1:19" x14ac:dyDescent="0.25">
      <c r="A220" s="1" t="s">
        <v>254</v>
      </c>
      <c r="B220" s="1" t="s">
        <v>41</v>
      </c>
      <c r="C220" s="1" t="s">
        <v>42</v>
      </c>
      <c r="D220" s="1" t="s">
        <v>27</v>
      </c>
      <c r="E220" s="1" t="s">
        <v>177</v>
      </c>
      <c r="F220" s="1" t="s">
        <v>45</v>
      </c>
      <c r="G220" s="3">
        <v>9487</v>
      </c>
      <c r="H220">
        <v>8</v>
      </c>
      <c r="I220" s="3">
        <v>37948</v>
      </c>
      <c r="J220">
        <v>796908</v>
      </c>
      <c r="K220" t="str">
        <f t="shared" si="3"/>
        <v>fevereiro</v>
      </c>
      <c r="L220" s="4">
        <v>43508</v>
      </c>
      <c r="M220" s="2">
        <v>0.54027777777777775</v>
      </c>
      <c r="N220" s="1" t="s">
        <v>23</v>
      </c>
      <c r="O220" s="3">
        <v>75896</v>
      </c>
      <c r="P220">
        <v>4761904762</v>
      </c>
      <c r="Q220" s="3">
        <v>37948</v>
      </c>
      <c r="R220">
        <v>87</v>
      </c>
      <c r="S220" s="3">
        <f>G220*SuperMarket_Analysis[[#This Row],[Quantity]]</f>
        <v>75896</v>
      </c>
    </row>
    <row r="221" spans="1:19" x14ac:dyDescent="0.25">
      <c r="A221" s="1" t="s">
        <v>255</v>
      </c>
      <c r="B221" s="1" t="s">
        <v>41</v>
      </c>
      <c r="C221" s="1" t="s">
        <v>42</v>
      </c>
      <c r="D221" s="1" t="s">
        <v>27</v>
      </c>
      <c r="E221" s="1" t="s">
        <v>21</v>
      </c>
      <c r="F221" s="1" t="s">
        <v>43</v>
      </c>
      <c r="G221" s="3">
        <v>5734</v>
      </c>
      <c r="H221">
        <v>3</v>
      </c>
      <c r="I221" s="3">
        <v>8601</v>
      </c>
      <c r="J221">
        <v>180621</v>
      </c>
      <c r="K221" t="str">
        <f t="shared" si="3"/>
        <v>março</v>
      </c>
      <c r="L221" s="4">
        <v>43534</v>
      </c>
      <c r="M221" s="2">
        <v>0.79097222222222219</v>
      </c>
      <c r="N221" s="1" t="s">
        <v>32</v>
      </c>
      <c r="O221" s="3">
        <v>17202</v>
      </c>
      <c r="P221">
        <v>4761904762</v>
      </c>
      <c r="Q221" s="3">
        <v>8601</v>
      </c>
      <c r="R221">
        <v>79</v>
      </c>
      <c r="S221" s="3">
        <f>G221*SuperMarket_Analysis[[#This Row],[Quantity]]</f>
        <v>17202</v>
      </c>
    </row>
    <row r="222" spans="1:19" x14ac:dyDescent="0.25">
      <c r="A222" s="1" t="s">
        <v>256</v>
      </c>
      <c r="B222" s="1" t="s">
        <v>41</v>
      </c>
      <c r="C222" s="1" t="s">
        <v>42</v>
      </c>
      <c r="D222" s="1" t="s">
        <v>27</v>
      </c>
      <c r="E222" s="1" t="s">
        <v>177</v>
      </c>
      <c r="F222" s="1" t="s">
        <v>28</v>
      </c>
      <c r="G222" s="3">
        <v>4535</v>
      </c>
      <c r="H222">
        <v>6</v>
      </c>
      <c r="I222" s="3">
        <v>13605</v>
      </c>
      <c r="J222">
        <v>285705</v>
      </c>
      <c r="K222" t="str">
        <f t="shared" si="3"/>
        <v>janeiro</v>
      </c>
      <c r="L222" s="4">
        <v>43496</v>
      </c>
      <c r="M222" s="2">
        <v>0.57222222222222219</v>
      </c>
      <c r="N222" s="1" t="s">
        <v>23</v>
      </c>
      <c r="O222" s="3">
        <v>2721</v>
      </c>
      <c r="P222">
        <v>4761904762</v>
      </c>
      <c r="Q222" s="3">
        <v>13605</v>
      </c>
      <c r="R222">
        <v>61</v>
      </c>
      <c r="S222" s="3">
        <f>G222*SuperMarket_Analysis[[#This Row],[Quantity]]</f>
        <v>27210</v>
      </c>
    </row>
    <row r="223" spans="1:19" x14ac:dyDescent="0.25">
      <c r="A223" s="1" t="s">
        <v>257</v>
      </c>
      <c r="B223" s="1" t="s">
        <v>41</v>
      </c>
      <c r="C223" s="1" t="s">
        <v>42</v>
      </c>
      <c r="D223" s="1" t="s">
        <v>27</v>
      </c>
      <c r="E223" s="1" t="s">
        <v>177</v>
      </c>
      <c r="F223" s="1" t="s">
        <v>43</v>
      </c>
      <c r="G223" s="3">
        <v>6208</v>
      </c>
      <c r="H223">
        <v>7</v>
      </c>
      <c r="I223" s="3">
        <v>21728</v>
      </c>
      <c r="J223">
        <v>456288</v>
      </c>
      <c r="K223" t="str">
        <f t="shared" si="3"/>
        <v>março</v>
      </c>
      <c r="L223" s="4">
        <v>43530</v>
      </c>
      <c r="M223" s="2">
        <v>0.57361111111111107</v>
      </c>
      <c r="N223" s="1" t="s">
        <v>23</v>
      </c>
      <c r="O223" s="3">
        <v>43456</v>
      </c>
      <c r="P223">
        <v>4761904762</v>
      </c>
      <c r="Q223" s="3">
        <v>21728</v>
      </c>
      <c r="R223">
        <v>54</v>
      </c>
      <c r="S223" s="3">
        <f>G223*SuperMarket_Analysis[[#This Row],[Quantity]]</f>
        <v>43456</v>
      </c>
    </row>
    <row r="224" spans="1:19" x14ac:dyDescent="0.25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177</v>
      </c>
      <c r="F224" s="1" t="s">
        <v>28</v>
      </c>
      <c r="G224" s="3">
        <v>1181</v>
      </c>
      <c r="H224">
        <v>5</v>
      </c>
      <c r="I224" s="3">
        <v>29525</v>
      </c>
      <c r="J224">
        <v>620025</v>
      </c>
      <c r="K224" t="str">
        <f t="shared" si="3"/>
        <v>fevereiro</v>
      </c>
      <c r="L224" s="4">
        <v>43513</v>
      </c>
      <c r="M224" s="2">
        <v>0.75416666666666665</v>
      </c>
      <c r="N224" s="1" t="s">
        <v>29</v>
      </c>
      <c r="O224" s="3">
        <v>5905</v>
      </c>
      <c r="P224">
        <v>4761904762</v>
      </c>
      <c r="Q224" s="3">
        <v>29525</v>
      </c>
      <c r="R224">
        <v>94</v>
      </c>
      <c r="S224" s="3">
        <f>G224*SuperMarket_Analysis[[#This Row],[Quantity]]</f>
        <v>5905</v>
      </c>
    </row>
    <row r="225" spans="1:19" x14ac:dyDescent="0.25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45</v>
      </c>
      <c r="G225" s="3">
        <v>1254</v>
      </c>
      <c r="H225">
        <v>1</v>
      </c>
      <c r="I225" s="3">
        <v>627</v>
      </c>
      <c r="J225">
        <v>13167</v>
      </c>
      <c r="K225" t="str">
        <f t="shared" si="3"/>
        <v>fevereiro</v>
      </c>
      <c r="L225" s="4">
        <v>43517</v>
      </c>
      <c r="M225" s="2">
        <v>0.52638888888888891</v>
      </c>
      <c r="N225" s="1" t="s">
        <v>29</v>
      </c>
      <c r="O225" s="3">
        <v>1254</v>
      </c>
      <c r="P225">
        <v>4761904762</v>
      </c>
      <c r="Q225" s="3">
        <v>627</v>
      </c>
      <c r="R225">
        <v>82</v>
      </c>
      <c r="S225" s="3">
        <f>G225*SuperMarket_Analysis[[#This Row],[Quantity]]</f>
        <v>1254</v>
      </c>
    </row>
    <row r="226" spans="1:19" x14ac:dyDescent="0.25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177</v>
      </c>
      <c r="F226" s="1" t="s">
        <v>43</v>
      </c>
      <c r="G226" s="3">
        <v>4325</v>
      </c>
      <c r="H226">
        <v>2</v>
      </c>
      <c r="I226" s="3">
        <v>4325</v>
      </c>
      <c r="J226">
        <v>90825</v>
      </c>
      <c r="K226" t="str">
        <f t="shared" si="3"/>
        <v>março</v>
      </c>
      <c r="L226" s="4">
        <v>43544</v>
      </c>
      <c r="M226" s="2">
        <v>0.66388888888888886</v>
      </c>
      <c r="N226" s="1" t="s">
        <v>29</v>
      </c>
      <c r="O226" s="3">
        <v>865</v>
      </c>
      <c r="P226">
        <v>4761904762</v>
      </c>
      <c r="Q226" s="3">
        <v>4325</v>
      </c>
      <c r="R226">
        <v>62</v>
      </c>
      <c r="S226" s="3">
        <f>G226*SuperMarket_Analysis[[#This Row],[Quantity]]</f>
        <v>8650</v>
      </c>
    </row>
    <row r="227" spans="1:19" x14ac:dyDescent="0.25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35</v>
      </c>
      <c r="G227" s="3">
        <v>8716</v>
      </c>
      <c r="H227">
        <v>2</v>
      </c>
      <c r="I227" s="3">
        <v>8716</v>
      </c>
      <c r="J227">
        <v>183036</v>
      </c>
      <c r="K227" t="str">
        <f t="shared" si="3"/>
        <v>janeiro</v>
      </c>
      <c r="L227" s="4">
        <v>43476</v>
      </c>
      <c r="M227" s="2">
        <v>0.60347222222222219</v>
      </c>
      <c r="N227" s="1" t="s">
        <v>32</v>
      </c>
      <c r="O227" s="3">
        <v>17432</v>
      </c>
      <c r="P227">
        <v>4761904762</v>
      </c>
      <c r="Q227" s="3">
        <v>8716</v>
      </c>
      <c r="R227">
        <v>97</v>
      </c>
      <c r="S227" s="3">
        <f>G227*SuperMarket_Analysis[[#This Row],[Quantity]]</f>
        <v>17432</v>
      </c>
    </row>
    <row r="228" spans="1:19" x14ac:dyDescent="0.25">
      <c r="A228" s="1" t="s">
        <v>262</v>
      </c>
      <c r="B228" s="1" t="s">
        <v>41</v>
      </c>
      <c r="C228" s="1" t="s">
        <v>42</v>
      </c>
      <c r="D228" s="1" t="s">
        <v>20</v>
      </c>
      <c r="E228" s="1" t="s">
        <v>177</v>
      </c>
      <c r="F228" s="1" t="s">
        <v>22</v>
      </c>
      <c r="G228" s="3">
        <v>6937</v>
      </c>
      <c r="H228">
        <v>9</v>
      </c>
      <c r="I228" s="3">
        <v>312165</v>
      </c>
      <c r="J228">
        <v>6555465</v>
      </c>
      <c r="K228" t="str">
        <f t="shared" si="3"/>
        <v>janeiro</v>
      </c>
      <c r="L228" s="4">
        <v>43491</v>
      </c>
      <c r="M228" s="2">
        <v>0.80138888888888893</v>
      </c>
      <c r="N228" s="1" t="s">
        <v>23</v>
      </c>
      <c r="O228" s="3">
        <v>62433</v>
      </c>
      <c r="P228">
        <v>4761904762</v>
      </c>
      <c r="Q228" s="3">
        <v>312165</v>
      </c>
      <c r="R228">
        <v>4</v>
      </c>
      <c r="S228" s="3">
        <f>G228*SuperMarket_Analysis[[#This Row],[Quantity]]</f>
        <v>62433</v>
      </c>
    </row>
    <row r="229" spans="1:19" x14ac:dyDescent="0.25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177</v>
      </c>
      <c r="F229" s="1" t="s">
        <v>28</v>
      </c>
      <c r="G229" s="3">
        <v>3706</v>
      </c>
      <c r="H229">
        <v>4</v>
      </c>
      <c r="I229" s="3">
        <v>7412</v>
      </c>
      <c r="J229">
        <v>155652</v>
      </c>
      <c r="K229" t="str">
        <f t="shared" si="3"/>
        <v>janeiro</v>
      </c>
      <c r="L229" s="4">
        <v>43496</v>
      </c>
      <c r="M229" s="2">
        <v>0.68333333333333335</v>
      </c>
      <c r="N229" s="1" t="s">
        <v>23</v>
      </c>
      <c r="O229" s="3">
        <v>14824</v>
      </c>
      <c r="P229">
        <v>4761904762</v>
      </c>
      <c r="Q229" s="3">
        <v>7412</v>
      </c>
      <c r="R229">
        <v>97</v>
      </c>
      <c r="S229" s="3">
        <f>G229*SuperMarket_Analysis[[#This Row],[Quantity]]</f>
        <v>14824</v>
      </c>
    </row>
    <row r="230" spans="1:19" x14ac:dyDescent="0.25">
      <c r="A230" s="1" t="s">
        <v>264</v>
      </c>
      <c r="B230" s="1" t="s">
        <v>41</v>
      </c>
      <c r="C230" s="1" t="s">
        <v>42</v>
      </c>
      <c r="D230" s="1" t="s">
        <v>20</v>
      </c>
      <c r="E230" s="1" t="s">
        <v>21</v>
      </c>
      <c r="F230" s="1" t="s">
        <v>28</v>
      </c>
      <c r="G230" s="3">
        <v>907</v>
      </c>
      <c r="H230">
        <v>6</v>
      </c>
      <c r="I230" s="3">
        <v>2721</v>
      </c>
      <c r="J230">
        <v>57141</v>
      </c>
      <c r="K230" t="str">
        <f t="shared" si="3"/>
        <v>fevereiro</v>
      </c>
      <c r="L230" s="4">
        <v>43522</v>
      </c>
      <c r="M230" s="2">
        <v>0.45277777777777778</v>
      </c>
      <c r="N230" s="1" t="s">
        <v>29</v>
      </c>
      <c r="O230" s="3">
        <v>5442</v>
      </c>
      <c r="P230">
        <v>4761904762</v>
      </c>
      <c r="Q230" s="3">
        <v>2721</v>
      </c>
      <c r="R230">
        <v>53</v>
      </c>
      <c r="S230" s="3">
        <f>G230*SuperMarket_Analysis[[#This Row],[Quantity]]</f>
        <v>5442</v>
      </c>
    </row>
    <row r="231" spans="1:19" x14ac:dyDescent="0.25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3">
        <v>6342</v>
      </c>
      <c r="H231">
        <v>8</v>
      </c>
      <c r="I231" s="3">
        <v>25368</v>
      </c>
      <c r="J231">
        <v>532728</v>
      </c>
      <c r="K231" t="str">
        <f t="shared" si="3"/>
        <v>março</v>
      </c>
      <c r="L231" s="4">
        <v>43535</v>
      </c>
      <c r="M231" s="2">
        <v>0.53819444444444442</v>
      </c>
      <c r="N231" s="1" t="s">
        <v>23</v>
      </c>
      <c r="O231" s="3">
        <v>50736</v>
      </c>
      <c r="P231">
        <v>4761904762</v>
      </c>
      <c r="Q231" s="3">
        <v>25368</v>
      </c>
      <c r="R231">
        <v>74</v>
      </c>
      <c r="S231" s="3">
        <f>G231*SuperMarket_Analysis[[#This Row],[Quantity]]</f>
        <v>50736</v>
      </c>
    </row>
    <row r="232" spans="1:19" x14ac:dyDescent="0.25">
      <c r="A232" s="1" t="s">
        <v>266</v>
      </c>
      <c r="B232" s="1" t="s">
        <v>41</v>
      </c>
      <c r="C232" s="1" t="s">
        <v>42</v>
      </c>
      <c r="D232" s="1" t="s">
        <v>27</v>
      </c>
      <c r="E232" s="1" t="s">
        <v>21</v>
      </c>
      <c r="F232" s="1" t="s">
        <v>45</v>
      </c>
      <c r="G232" s="3">
        <v>8137</v>
      </c>
      <c r="H232">
        <v>2</v>
      </c>
      <c r="I232" s="3">
        <v>8137</v>
      </c>
      <c r="J232">
        <v>170877</v>
      </c>
      <c r="K232" t="str">
        <f t="shared" si="3"/>
        <v>janeiro</v>
      </c>
      <c r="L232" s="4">
        <v>43491</v>
      </c>
      <c r="M232" s="2">
        <v>0.81111111111111112</v>
      </c>
      <c r="N232" s="1" t="s">
        <v>29</v>
      </c>
      <c r="O232" s="3">
        <v>16274</v>
      </c>
      <c r="P232">
        <v>4761904762</v>
      </c>
      <c r="Q232" s="3">
        <v>8137</v>
      </c>
      <c r="R232">
        <v>65</v>
      </c>
      <c r="S232" s="3">
        <f>G232*SuperMarket_Analysis[[#This Row],[Quantity]]</f>
        <v>16274</v>
      </c>
    </row>
    <row r="233" spans="1:19" x14ac:dyDescent="0.25">
      <c r="A233" s="1" t="s">
        <v>267</v>
      </c>
      <c r="B233" s="1" t="s">
        <v>41</v>
      </c>
      <c r="C233" s="1" t="s">
        <v>42</v>
      </c>
      <c r="D233" s="1" t="s">
        <v>20</v>
      </c>
      <c r="E233" s="1" t="s">
        <v>21</v>
      </c>
      <c r="F233" s="1" t="s">
        <v>28</v>
      </c>
      <c r="G233" s="3">
        <v>1059</v>
      </c>
      <c r="H233">
        <v>3</v>
      </c>
      <c r="I233" s="3">
        <v>15885</v>
      </c>
      <c r="J233">
        <v>333585</v>
      </c>
      <c r="K233" t="str">
        <f t="shared" si="3"/>
        <v>março</v>
      </c>
      <c r="L233" s="4">
        <v>43536</v>
      </c>
      <c r="M233" s="2">
        <v>0.57777777777777772</v>
      </c>
      <c r="N233" s="1" t="s">
        <v>32</v>
      </c>
      <c r="O233" s="3">
        <v>3177</v>
      </c>
      <c r="P233">
        <v>4761904762</v>
      </c>
      <c r="Q233" s="3">
        <v>15885</v>
      </c>
      <c r="R233">
        <v>87</v>
      </c>
      <c r="S233" s="3">
        <f>G233*SuperMarket_Analysis[[#This Row],[Quantity]]</f>
        <v>3177</v>
      </c>
    </row>
    <row r="234" spans="1:19" x14ac:dyDescent="0.25">
      <c r="A234" s="1" t="s">
        <v>268</v>
      </c>
      <c r="B234" s="1" t="s">
        <v>41</v>
      </c>
      <c r="C234" s="1" t="s">
        <v>42</v>
      </c>
      <c r="D234" s="1" t="s">
        <v>27</v>
      </c>
      <c r="E234" s="1" t="s">
        <v>21</v>
      </c>
      <c r="F234" s="1" t="s">
        <v>22</v>
      </c>
      <c r="G234" s="3">
        <v>8409</v>
      </c>
      <c r="H234">
        <v>9</v>
      </c>
      <c r="I234" s="3">
        <v>378405</v>
      </c>
      <c r="J234">
        <v>7946505</v>
      </c>
      <c r="K234" t="str">
        <f t="shared" si="3"/>
        <v>fevereiro</v>
      </c>
      <c r="L234" s="4">
        <v>43507</v>
      </c>
      <c r="M234" s="2">
        <v>0.45416666666666666</v>
      </c>
      <c r="N234" s="1" t="s">
        <v>29</v>
      </c>
      <c r="O234" s="3">
        <v>75681</v>
      </c>
      <c r="P234">
        <v>4761904762</v>
      </c>
      <c r="Q234" s="3">
        <v>378405</v>
      </c>
      <c r="R234">
        <v>8</v>
      </c>
      <c r="S234" s="3">
        <f>G234*SuperMarket_Analysis[[#This Row],[Quantity]]</f>
        <v>75681</v>
      </c>
    </row>
    <row r="235" spans="1:19" x14ac:dyDescent="0.25">
      <c r="A235" s="1" t="s">
        <v>269</v>
      </c>
      <c r="B235" s="1" t="s">
        <v>41</v>
      </c>
      <c r="C235" s="1" t="s">
        <v>42</v>
      </c>
      <c r="D235" s="1" t="s">
        <v>20</v>
      </c>
      <c r="E235" s="1" t="s">
        <v>177</v>
      </c>
      <c r="F235" s="1" t="s">
        <v>45</v>
      </c>
      <c r="G235" s="3">
        <v>7382</v>
      </c>
      <c r="H235">
        <v>4</v>
      </c>
      <c r="I235" s="3">
        <v>14764</v>
      </c>
      <c r="J235">
        <v>310044</v>
      </c>
      <c r="K235" t="str">
        <f t="shared" si="3"/>
        <v>fevereiro</v>
      </c>
      <c r="L235" s="4">
        <v>43517</v>
      </c>
      <c r="M235" s="2">
        <v>0.77152777777777781</v>
      </c>
      <c r="N235" s="1" t="s">
        <v>29</v>
      </c>
      <c r="O235" s="3">
        <v>29528</v>
      </c>
      <c r="P235">
        <v>4761904762</v>
      </c>
      <c r="Q235" s="3">
        <v>14764</v>
      </c>
      <c r="R235">
        <v>67</v>
      </c>
      <c r="S235" s="3">
        <f>G235*SuperMarket_Analysis[[#This Row],[Quantity]]</f>
        <v>29528</v>
      </c>
    </row>
    <row r="236" spans="1:19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177</v>
      </c>
      <c r="F236" s="1" t="s">
        <v>22</v>
      </c>
      <c r="G236" s="3">
        <v>5194</v>
      </c>
      <c r="H236">
        <v>10</v>
      </c>
      <c r="I236" s="3">
        <v>2597</v>
      </c>
      <c r="J236">
        <v>54537</v>
      </c>
      <c r="K236" t="str">
        <f t="shared" si="3"/>
        <v>março</v>
      </c>
      <c r="L236" s="4">
        <v>43533</v>
      </c>
      <c r="M236" s="2">
        <v>0.76666666666666672</v>
      </c>
      <c r="N236" s="1" t="s">
        <v>23</v>
      </c>
      <c r="O236" s="3">
        <v>5194</v>
      </c>
      <c r="P236">
        <v>4761904762</v>
      </c>
      <c r="Q236" s="3">
        <v>2597</v>
      </c>
      <c r="R236">
        <v>65</v>
      </c>
      <c r="S236" s="3">
        <f>G236*SuperMarket_Analysis[[#This Row],[Quantity]]</f>
        <v>51940</v>
      </c>
    </row>
    <row r="237" spans="1:19" x14ac:dyDescent="0.25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35</v>
      </c>
      <c r="G237" s="3">
        <v>9314</v>
      </c>
      <c r="H237">
        <v>2</v>
      </c>
      <c r="I237" s="3">
        <v>9314</v>
      </c>
      <c r="J237">
        <v>195594</v>
      </c>
      <c r="K237" t="str">
        <f t="shared" si="3"/>
        <v>janeiro</v>
      </c>
      <c r="L237" s="4">
        <v>43485</v>
      </c>
      <c r="M237" s="2">
        <v>0.75624999999999998</v>
      </c>
      <c r="N237" s="1" t="s">
        <v>23</v>
      </c>
      <c r="O237" s="3">
        <v>18628</v>
      </c>
      <c r="P237">
        <v>4761904762</v>
      </c>
      <c r="Q237" s="3">
        <v>9314</v>
      </c>
      <c r="R237">
        <v>41</v>
      </c>
      <c r="S237" s="3">
        <f>G237*SuperMarket_Analysis[[#This Row],[Quantity]]</f>
        <v>18628</v>
      </c>
    </row>
    <row r="238" spans="1:19" x14ac:dyDescent="0.25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177</v>
      </c>
      <c r="F238" s="1" t="s">
        <v>22</v>
      </c>
      <c r="G238" s="3">
        <v>1741</v>
      </c>
      <c r="H238">
        <v>5</v>
      </c>
      <c r="I238" s="3">
        <v>43525</v>
      </c>
      <c r="J238">
        <v>914025</v>
      </c>
      <c r="K238" t="str">
        <f t="shared" si="3"/>
        <v>janeiro</v>
      </c>
      <c r="L238" s="4">
        <v>43493</v>
      </c>
      <c r="M238" s="2">
        <v>0.63611111111111107</v>
      </c>
      <c r="N238" s="1" t="s">
        <v>32</v>
      </c>
      <c r="O238" s="3">
        <v>8705</v>
      </c>
      <c r="P238">
        <v>4761904762</v>
      </c>
      <c r="Q238" s="3">
        <v>43525</v>
      </c>
      <c r="R238">
        <v>49</v>
      </c>
      <c r="S238" s="3">
        <f>G238*SuperMarket_Analysis[[#This Row],[Quantity]]</f>
        <v>8705</v>
      </c>
    </row>
    <row r="239" spans="1:19" x14ac:dyDescent="0.25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45</v>
      </c>
      <c r="G239" s="3">
        <v>4422</v>
      </c>
      <c r="H239">
        <v>5</v>
      </c>
      <c r="I239" s="3">
        <v>11055</v>
      </c>
      <c r="J239">
        <v>232155</v>
      </c>
      <c r="K239" t="str">
        <f t="shared" si="3"/>
        <v>março</v>
      </c>
      <c r="L239" s="4">
        <v>43529</v>
      </c>
      <c r="M239" s="2">
        <v>0.71319444444444446</v>
      </c>
      <c r="N239" s="1" t="s">
        <v>32</v>
      </c>
      <c r="O239" s="3">
        <v>2211</v>
      </c>
      <c r="P239">
        <v>4761904762</v>
      </c>
      <c r="Q239" s="3">
        <v>11055</v>
      </c>
      <c r="R239">
        <v>86</v>
      </c>
      <c r="S239" s="3">
        <f>G239*SuperMarket_Analysis[[#This Row],[Quantity]]</f>
        <v>22110</v>
      </c>
    </row>
    <row r="240" spans="1:19" x14ac:dyDescent="0.25">
      <c r="A240" s="1" t="s">
        <v>274</v>
      </c>
      <c r="B240" s="1" t="s">
        <v>41</v>
      </c>
      <c r="C240" s="1" t="s">
        <v>42</v>
      </c>
      <c r="D240" s="1" t="s">
        <v>20</v>
      </c>
      <c r="E240" s="1" t="s">
        <v>21</v>
      </c>
      <c r="F240" s="1" t="s">
        <v>28</v>
      </c>
      <c r="G240" s="3">
        <v>1322</v>
      </c>
      <c r="H240">
        <v>5</v>
      </c>
      <c r="I240" s="3">
        <v>3305</v>
      </c>
      <c r="J240">
        <v>69405</v>
      </c>
      <c r="K240" t="str">
        <f t="shared" si="3"/>
        <v>março</v>
      </c>
      <c r="L240" s="4">
        <v>43526</v>
      </c>
      <c r="M240" s="2">
        <v>0.80972222222222223</v>
      </c>
      <c r="N240" s="1" t="s">
        <v>29</v>
      </c>
      <c r="O240" s="3">
        <v>661</v>
      </c>
      <c r="P240">
        <v>4761904762</v>
      </c>
      <c r="Q240" s="3">
        <v>3305</v>
      </c>
      <c r="R240">
        <v>43</v>
      </c>
      <c r="S240" s="3">
        <f>G240*SuperMarket_Analysis[[#This Row],[Quantity]]</f>
        <v>6610</v>
      </c>
    </row>
    <row r="241" spans="1:19" x14ac:dyDescent="0.25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177</v>
      </c>
      <c r="F241" s="1" t="s">
        <v>45</v>
      </c>
      <c r="G241" s="3">
        <v>8969</v>
      </c>
      <c r="H241">
        <v>1</v>
      </c>
      <c r="I241" s="3">
        <v>44845</v>
      </c>
      <c r="J241">
        <v>941745</v>
      </c>
      <c r="K241" t="str">
        <f t="shared" si="3"/>
        <v>janeiro</v>
      </c>
      <c r="L241" s="4">
        <v>43476</v>
      </c>
      <c r="M241" s="2">
        <v>0.47222222222222221</v>
      </c>
      <c r="N241" s="1" t="s">
        <v>23</v>
      </c>
      <c r="O241" s="3">
        <v>8969</v>
      </c>
      <c r="P241">
        <v>4761904762</v>
      </c>
      <c r="Q241" s="3">
        <v>44845</v>
      </c>
      <c r="R241">
        <v>49</v>
      </c>
      <c r="S241" s="3">
        <f>G241*SuperMarket_Analysis[[#This Row],[Quantity]]</f>
        <v>8969</v>
      </c>
    </row>
    <row r="242" spans="1:19" x14ac:dyDescent="0.25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177</v>
      </c>
      <c r="F242" s="1" t="s">
        <v>43</v>
      </c>
      <c r="G242" s="3">
        <v>2494</v>
      </c>
      <c r="H242">
        <v>9</v>
      </c>
      <c r="I242" s="3">
        <v>11223</v>
      </c>
      <c r="J242">
        <v>235683</v>
      </c>
      <c r="K242" t="str">
        <f t="shared" si="3"/>
        <v>janeiro</v>
      </c>
      <c r="L242" s="4">
        <v>43476</v>
      </c>
      <c r="M242" s="2">
        <v>0.7006944444444444</v>
      </c>
      <c r="N242" s="1" t="s">
        <v>32</v>
      </c>
      <c r="O242" s="3">
        <v>22446</v>
      </c>
      <c r="P242">
        <v>4761904762</v>
      </c>
      <c r="Q242" s="3">
        <v>11223</v>
      </c>
      <c r="R242">
        <v>56</v>
      </c>
      <c r="S242" s="3">
        <f>G242*SuperMarket_Analysis[[#This Row],[Quantity]]</f>
        <v>22446</v>
      </c>
    </row>
    <row r="243" spans="1:19" x14ac:dyDescent="0.25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177</v>
      </c>
      <c r="F243" s="1" t="s">
        <v>22</v>
      </c>
      <c r="G243" s="3">
        <v>5977</v>
      </c>
      <c r="H243">
        <v>2</v>
      </c>
      <c r="I243" s="3">
        <v>5977</v>
      </c>
      <c r="J243">
        <v>125517</v>
      </c>
      <c r="K243" t="str">
        <f t="shared" si="3"/>
        <v>março</v>
      </c>
      <c r="L243" s="4">
        <v>43535</v>
      </c>
      <c r="M243" s="2">
        <v>0.50069444444444444</v>
      </c>
      <c r="N243" s="1" t="s">
        <v>32</v>
      </c>
      <c r="O243" s="3">
        <v>11954</v>
      </c>
      <c r="P243">
        <v>4761904762</v>
      </c>
      <c r="Q243" s="3">
        <v>5977</v>
      </c>
      <c r="R243">
        <v>58</v>
      </c>
      <c r="S243" s="3">
        <f>G243*SuperMarket_Analysis[[#This Row],[Quantity]]</f>
        <v>11954</v>
      </c>
    </row>
    <row r="244" spans="1:19" x14ac:dyDescent="0.25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177</v>
      </c>
      <c r="F244" s="1" t="s">
        <v>45</v>
      </c>
      <c r="G244" s="3">
        <v>932</v>
      </c>
      <c r="H244">
        <v>2</v>
      </c>
      <c r="I244" s="3">
        <v>932</v>
      </c>
      <c r="J244">
        <v>19572</v>
      </c>
      <c r="K244" t="str">
        <f t="shared" si="3"/>
        <v>fevereiro</v>
      </c>
      <c r="L244" s="4">
        <v>43524</v>
      </c>
      <c r="M244" s="2">
        <v>0.77569444444444446</v>
      </c>
      <c r="N244" s="1" t="s">
        <v>32</v>
      </c>
      <c r="O244" s="3">
        <v>1864</v>
      </c>
      <c r="P244">
        <v>4761904762</v>
      </c>
      <c r="Q244" s="3">
        <v>932</v>
      </c>
      <c r="R244">
        <v>6</v>
      </c>
      <c r="S244" s="3">
        <f>G244*SuperMarket_Analysis[[#This Row],[Quantity]]</f>
        <v>1864</v>
      </c>
    </row>
    <row r="245" spans="1:19" x14ac:dyDescent="0.25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177</v>
      </c>
      <c r="F245" s="1" t="s">
        <v>31</v>
      </c>
      <c r="G245" s="3">
        <v>6265</v>
      </c>
      <c r="H245">
        <v>4</v>
      </c>
      <c r="I245" s="3">
        <v>1253</v>
      </c>
      <c r="J245">
        <v>26313</v>
      </c>
      <c r="K245" t="str">
        <f t="shared" si="3"/>
        <v>janeiro</v>
      </c>
      <c r="L245" s="4">
        <v>43470</v>
      </c>
      <c r="M245" s="2">
        <v>0.47569444444444442</v>
      </c>
      <c r="N245" s="1" t="s">
        <v>29</v>
      </c>
      <c r="O245" s="3">
        <v>2506</v>
      </c>
      <c r="P245">
        <v>4761904762</v>
      </c>
      <c r="Q245" s="3">
        <v>1253</v>
      </c>
      <c r="R245">
        <v>42</v>
      </c>
      <c r="S245" s="3">
        <f>G245*SuperMarket_Analysis[[#This Row],[Quantity]]</f>
        <v>25060</v>
      </c>
    </row>
    <row r="246" spans="1:19" x14ac:dyDescent="0.25">
      <c r="A246" s="1" t="s">
        <v>280</v>
      </c>
      <c r="B246" s="1" t="s">
        <v>41</v>
      </c>
      <c r="C246" s="1" t="s">
        <v>42</v>
      </c>
      <c r="D246" s="1" t="s">
        <v>27</v>
      </c>
      <c r="E246" s="1" t="s">
        <v>177</v>
      </c>
      <c r="F246" s="1" t="s">
        <v>31</v>
      </c>
      <c r="G246" s="3">
        <v>9387</v>
      </c>
      <c r="H246">
        <v>8</v>
      </c>
      <c r="I246" s="3">
        <v>37548</v>
      </c>
      <c r="J246">
        <v>788508</v>
      </c>
      <c r="K246" t="str">
        <f t="shared" si="3"/>
        <v>fevereiro</v>
      </c>
      <c r="L246" s="4">
        <v>43498</v>
      </c>
      <c r="M246" s="2">
        <v>0.77916666666666667</v>
      </c>
      <c r="N246" s="1" t="s">
        <v>32</v>
      </c>
      <c r="O246" s="3">
        <v>75096</v>
      </c>
      <c r="P246">
        <v>4761904762</v>
      </c>
      <c r="Q246" s="3">
        <v>37548</v>
      </c>
      <c r="R246">
        <v>83</v>
      </c>
      <c r="S246" s="3">
        <f>G246*SuperMarket_Analysis[[#This Row],[Quantity]]</f>
        <v>75096</v>
      </c>
    </row>
    <row r="247" spans="1:19" x14ac:dyDescent="0.25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177</v>
      </c>
      <c r="F247" s="1" t="s">
        <v>31</v>
      </c>
      <c r="G247" s="3">
        <v>4759</v>
      </c>
      <c r="H247">
        <v>8</v>
      </c>
      <c r="I247" s="3">
        <v>19036</v>
      </c>
      <c r="J247">
        <v>399756</v>
      </c>
      <c r="K247" t="str">
        <f t="shared" si="3"/>
        <v>janeiro</v>
      </c>
      <c r="L247" s="4">
        <v>43466</v>
      </c>
      <c r="M247" s="2">
        <v>0.61597222222222225</v>
      </c>
      <c r="N247" s="1" t="s">
        <v>29</v>
      </c>
      <c r="O247" s="3">
        <v>38072</v>
      </c>
      <c r="P247">
        <v>4761904762</v>
      </c>
      <c r="Q247" s="3">
        <v>19036</v>
      </c>
      <c r="R247">
        <v>57</v>
      </c>
      <c r="S247" s="3">
        <f>G247*SuperMarket_Analysis[[#This Row],[Quantity]]</f>
        <v>38072</v>
      </c>
    </row>
    <row r="248" spans="1:19" x14ac:dyDescent="0.25">
      <c r="A248" s="1" t="s">
        <v>282</v>
      </c>
      <c r="B248" s="1" t="s">
        <v>41</v>
      </c>
      <c r="C248" s="1" t="s">
        <v>42</v>
      </c>
      <c r="D248" s="1" t="s">
        <v>20</v>
      </c>
      <c r="E248" s="1" t="s">
        <v>21</v>
      </c>
      <c r="F248" s="1" t="s">
        <v>28</v>
      </c>
      <c r="G248" s="3">
        <v>814</v>
      </c>
      <c r="H248">
        <v>3</v>
      </c>
      <c r="I248" s="3">
        <v>1221</v>
      </c>
      <c r="J248">
        <v>25641</v>
      </c>
      <c r="K248" t="str">
        <f t="shared" si="3"/>
        <v>fevereiro</v>
      </c>
      <c r="L248" s="4">
        <v>43505</v>
      </c>
      <c r="M248" s="2">
        <v>0.82152777777777775</v>
      </c>
      <c r="N248" s="1" t="s">
        <v>29</v>
      </c>
      <c r="O248" s="3">
        <v>2442</v>
      </c>
      <c r="P248">
        <v>4761904762</v>
      </c>
      <c r="Q248" s="3">
        <v>1221</v>
      </c>
      <c r="R248">
        <v>48</v>
      </c>
      <c r="S248" s="3">
        <f>G248*SuperMarket_Analysis[[#This Row],[Quantity]]</f>
        <v>2442</v>
      </c>
    </row>
    <row r="249" spans="1:19" x14ac:dyDescent="0.25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177</v>
      </c>
      <c r="F249" s="1" t="s">
        <v>45</v>
      </c>
      <c r="G249" s="3">
        <v>1794</v>
      </c>
      <c r="H249">
        <v>5</v>
      </c>
      <c r="I249" s="3">
        <v>4485</v>
      </c>
      <c r="J249">
        <v>94185</v>
      </c>
      <c r="K249" t="str">
        <f t="shared" si="3"/>
        <v>janeiro</v>
      </c>
      <c r="L249" s="4">
        <v>43488</v>
      </c>
      <c r="M249" s="2">
        <v>0.58611111111111114</v>
      </c>
      <c r="N249" s="1" t="s">
        <v>23</v>
      </c>
      <c r="O249" s="3">
        <v>897</v>
      </c>
      <c r="P249">
        <v>4761904762</v>
      </c>
      <c r="Q249" s="3">
        <v>4485</v>
      </c>
      <c r="R249">
        <v>68</v>
      </c>
      <c r="S249" s="3">
        <f>G249*SuperMarket_Analysis[[#This Row],[Quantity]]</f>
        <v>8970</v>
      </c>
    </row>
    <row r="250" spans="1:19" x14ac:dyDescent="0.25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177</v>
      </c>
      <c r="F250" s="1" t="s">
        <v>28</v>
      </c>
      <c r="G250" s="3">
        <v>7772</v>
      </c>
      <c r="H250">
        <v>4</v>
      </c>
      <c r="I250" s="3">
        <v>15544</v>
      </c>
      <c r="J250">
        <v>326424</v>
      </c>
      <c r="K250" t="str">
        <f t="shared" si="3"/>
        <v>janeiro</v>
      </c>
      <c r="L250" s="4">
        <v>43472</v>
      </c>
      <c r="M250" s="2">
        <v>0.6743055555555556</v>
      </c>
      <c r="N250" s="1" t="s">
        <v>32</v>
      </c>
      <c r="O250" s="3">
        <v>31088</v>
      </c>
      <c r="P250">
        <v>4761904762</v>
      </c>
      <c r="Q250" s="3">
        <v>15544</v>
      </c>
      <c r="R250">
        <v>88</v>
      </c>
      <c r="S250" s="3">
        <f>G250*SuperMarket_Analysis[[#This Row],[Quantity]]</f>
        <v>31088</v>
      </c>
    </row>
    <row r="251" spans="1:19" x14ac:dyDescent="0.25">
      <c r="A251" s="1" t="s">
        <v>285</v>
      </c>
      <c r="B251" s="1" t="s">
        <v>41</v>
      </c>
      <c r="C251" s="1" t="s">
        <v>42</v>
      </c>
      <c r="D251" s="1" t="s">
        <v>27</v>
      </c>
      <c r="E251" s="1" t="s">
        <v>177</v>
      </c>
      <c r="F251" s="1" t="s">
        <v>43</v>
      </c>
      <c r="G251" s="3">
        <v>7306</v>
      </c>
      <c r="H251">
        <v>7</v>
      </c>
      <c r="I251" s="3">
        <v>25571</v>
      </c>
      <c r="J251">
        <v>536991</v>
      </c>
      <c r="K251" t="str">
        <f t="shared" si="3"/>
        <v>janeiro</v>
      </c>
      <c r="L251" s="4">
        <v>43479</v>
      </c>
      <c r="M251" s="2">
        <v>0.79583333333333328</v>
      </c>
      <c r="N251" s="1" t="s">
        <v>32</v>
      </c>
      <c r="O251" s="3">
        <v>51142</v>
      </c>
      <c r="P251">
        <v>4761904762</v>
      </c>
      <c r="Q251" s="3">
        <v>25571</v>
      </c>
      <c r="R251">
        <v>42</v>
      </c>
      <c r="S251" s="3">
        <f>G251*SuperMarket_Analysis[[#This Row],[Quantity]]</f>
        <v>51142</v>
      </c>
    </row>
    <row r="252" spans="1:19" x14ac:dyDescent="0.25">
      <c r="A252" s="1" t="s">
        <v>286</v>
      </c>
      <c r="B252" s="1" t="s">
        <v>41</v>
      </c>
      <c r="C252" s="1" t="s">
        <v>42</v>
      </c>
      <c r="D252" s="1" t="s">
        <v>20</v>
      </c>
      <c r="E252" s="1" t="s">
        <v>177</v>
      </c>
      <c r="F252" s="1" t="s">
        <v>43</v>
      </c>
      <c r="G252" s="3">
        <v>4655</v>
      </c>
      <c r="H252">
        <v>9</v>
      </c>
      <c r="I252" s="3">
        <v>209475</v>
      </c>
      <c r="J252">
        <v>4398975</v>
      </c>
      <c r="K252" t="str">
        <f t="shared" si="3"/>
        <v>fevereiro</v>
      </c>
      <c r="L252" s="4">
        <v>43498</v>
      </c>
      <c r="M252" s="2">
        <v>0.64861111111111114</v>
      </c>
      <c r="N252" s="1" t="s">
        <v>23</v>
      </c>
      <c r="O252" s="3">
        <v>41895</v>
      </c>
      <c r="P252">
        <v>4761904762</v>
      </c>
      <c r="Q252" s="3">
        <v>209475</v>
      </c>
      <c r="R252">
        <v>64</v>
      </c>
      <c r="S252" s="3">
        <f>G252*SuperMarket_Analysis[[#This Row],[Quantity]]</f>
        <v>41895</v>
      </c>
    </row>
    <row r="253" spans="1:19" x14ac:dyDescent="0.25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177</v>
      </c>
      <c r="F253" s="1" t="s">
        <v>45</v>
      </c>
      <c r="G253" s="3">
        <v>3519</v>
      </c>
      <c r="H253">
        <v>10</v>
      </c>
      <c r="I253" s="3">
        <v>17595</v>
      </c>
      <c r="J253">
        <v>369495</v>
      </c>
      <c r="K253" t="str">
        <f t="shared" si="3"/>
        <v>março</v>
      </c>
      <c r="L253" s="4">
        <v>43541</v>
      </c>
      <c r="M253" s="2">
        <v>0.79583333333333328</v>
      </c>
      <c r="N253" s="1" t="s">
        <v>32</v>
      </c>
      <c r="O253" s="3">
        <v>3519</v>
      </c>
      <c r="P253">
        <v>4761904762</v>
      </c>
      <c r="Q253" s="3">
        <v>17595</v>
      </c>
      <c r="R253">
        <v>84</v>
      </c>
      <c r="S253" s="3">
        <f>G253*SuperMarket_Analysis[[#This Row],[Quantity]]</f>
        <v>35190</v>
      </c>
    </row>
    <row r="254" spans="1:19" x14ac:dyDescent="0.25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35</v>
      </c>
      <c r="G254" s="3">
        <v>1439</v>
      </c>
      <c r="H254">
        <v>2</v>
      </c>
      <c r="I254" s="3">
        <v>1439</v>
      </c>
      <c r="J254">
        <v>30219</v>
      </c>
      <c r="K254" t="str">
        <f t="shared" si="3"/>
        <v>março</v>
      </c>
      <c r="L254" s="4">
        <v>43526</v>
      </c>
      <c r="M254" s="2">
        <v>0.82222222222222219</v>
      </c>
      <c r="N254" s="1" t="s">
        <v>32</v>
      </c>
      <c r="O254" s="3">
        <v>2878</v>
      </c>
      <c r="P254">
        <v>4761904762</v>
      </c>
      <c r="Q254" s="3">
        <v>1439</v>
      </c>
      <c r="R254">
        <v>72</v>
      </c>
      <c r="S254" s="3">
        <f>G254*SuperMarket_Analysis[[#This Row],[Quantity]]</f>
        <v>2878</v>
      </c>
    </row>
    <row r="255" spans="1:19" x14ac:dyDescent="0.25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177</v>
      </c>
      <c r="F255" s="1" t="s">
        <v>31</v>
      </c>
      <c r="G255" s="3">
        <v>2375</v>
      </c>
      <c r="H255">
        <v>4</v>
      </c>
      <c r="I255" s="3">
        <v>475</v>
      </c>
      <c r="J255">
        <v>9975</v>
      </c>
      <c r="K255" t="str">
        <f t="shared" si="3"/>
        <v>março</v>
      </c>
      <c r="L255" s="4">
        <v>43540</v>
      </c>
      <c r="M255" s="2">
        <v>0.47361111111111109</v>
      </c>
      <c r="N255" s="1" t="s">
        <v>29</v>
      </c>
      <c r="O255" s="3">
        <v>95</v>
      </c>
      <c r="P255">
        <v>4761904762</v>
      </c>
      <c r="Q255" s="3">
        <v>475</v>
      </c>
      <c r="R255">
        <v>52</v>
      </c>
      <c r="S255" s="3">
        <f>G255*SuperMarket_Analysis[[#This Row],[Quantity]]</f>
        <v>9500</v>
      </c>
    </row>
    <row r="256" spans="1:19" x14ac:dyDescent="0.25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177</v>
      </c>
      <c r="F256" s="1" t="s">
        <v>31</v>
      </c>
      <c r="G256" s="3">
        <v>589</v>
      </c>
      <c r="H256">
        <v>8</v>
      </c>
      <c r="I256" s="3">
        <v>2356</v>
      </c>
      <c r="J256">
        <v>49476</v>
      </c>
      <c r="K256" t="str">
        <f t="shared" si="3"/>
        <v>janeiro</v>
      </c>
      <c r="L256" s="4">
        <v>43471</v>
      </c>
      <c r="M256" s="2">
        <v>0.47430555555555554</v>
      </c>
      <c r="N256" s="1" t="s">
        <v>29</v>
      </c>
      <c r="O256" s="3">
        <v>4712</v>
      </c>
      <c r="P256">
        <v>4761904762</v>
      </c>
      <c r="Q256" s="3">
        <v>2356</v>
      </c>
      <c r="R256">
        <v>89</v>
      </c>
      <c r="S256" s="3">
        <f>G256*SuperMarket_Analysis[[#This Row],[Quantity]]</f>
        <v>4712</v>
      </c>
    </row>
    <row r="257" spans="1:19" x14ac:dyDescent="0.25">
      <c r="A257" s="1" t="s">
        <v>291</v>
      </c>
      <c r="B257" s="1" t="s">
        <v>41</v>
      </c>
      <c r="C257" s="1" t="s">
        <v>42</v>
      </c>
      <c r="D257" s="1" t="s">
        <v>20</v>
      </c>
      <c r="E257" s="1" t="s">
        <v>177</v>
      </c>
      <c r="F257" s="1" t="s">
        <v>45</v>
      </c>
      <c r="G257" s="3">
        <v>3262</v>
      </c>
      <c r="H257">
        <v>4</v>
      </c>
      <c r="I257" s="3">
        <v>6524</v>
      </c>
      <c r="J257">
        <v>137004</v>
      </c>
      <c r="K257" t="str">
        <f t="shared" si="3"/>
        <v>janeiro</v>
      </c>
      <c r="L257" s="4">
        <v>43494</v>
      </c>
      <c r="M257" s="2">
        <v>0.59166666666666667</v>
      </c>
      <c r="N257" s="1" t="s">
        <v>29</v>
      </c>
      <c r="O257" s="3">
        <v>13048</v>
      </c>
      <c r="P257">
        <v>4761904762</v>
      </c>
      <c r="Q257" s="3">
        <v>6524</v>
      </c>
      <c r="R257">
        <v>9</v>
      </c>
      <c r="S257" s="3">
        <f>G257*SuperMarket_Analysis[[#This Row],[Quantity]]</f>
        <v>13048</v>
      </c>
    </row>
    <row r="258" spans="1:19" x14ac:dyDescent="0.25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177</v>
      </c>
      <c r="F258" s="1" t="s">
        <v>28</v>
      </c>
      <c r="G258" s="3">
        <v>6635</v>
      </c>
      <c r="H258">
        <v>1</v>
      </c>
      <c r="I258" s="3">
        <v>33175</v>
      </c>
      <c r="J258">
        <v>696675</v>
      </c>
      <c r="K258" t="str">
        <f t="shared" ref="K258:K321" si="4">TEXT(L258, "mmmm")</f>
        <v>janeiro</v>
      </c>
      <c r="L258" s="4">
        <v>43496</v>
      </c>
      <c r="M258" s="2">
        <v>0.44861111111111113</v>
      </c>
      <c r="N258" s="1" t="s">
        <v>32</v>
      </c>
      <c r="O258" s="3">
        <v>6635</v>
      </c>
      <c r="P258">
        <v>4761904762</v>
      </c>
      <c r="Q258" s="3">
        <v>33175</v>
      </c>
      <c r="R258">
        <v>97</v>
      </c>
      <c r="S258" s="3">
        <f>G258*SuperMarket_Analysis[[#This Row],[Quantity]]</f>
        <v>6635</v>
      </c>
    </row>
    <row r="259" spans="1:19" x14ac:dyDescent="0.25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177</v>
      </c>
      <c r="F259" s="1" t="s">
        <v>31</v>
      </c>
      <c r="G259" s="3">
        <v>2591</v>
      </c>
      <c r="H259">
        <v>6</v>
      </c>
      <c r="I259" s="3">
        <v>7773</v>
      </c>
      <c r="J259">
        <v>163233</v>
      </c>
      <c r="K259" t="str">
        <f t="shared" si="4"/>
        <v>fevereiro</v>
      </c>
      <c r="L259" s="4">
        <v>43501</v>
      </c>
      <c r="M259" s="2">
        <v>0.42777777777777776</v>
      </c>
      <c r="N259" s="1" t="s">
        <v>23</v>
      </c>
      <c r="O259" s="3">
        <v>15546</v>
      </c>
      <c r="P259">
        <v>4761904762</v>
      </c>
      <c r="Q259" s="3">
        <v>7773</v>
      </c>
      <c r="R259">
        <v>87</v>
      </c>
      <c r="S259" s="3">
        <f>G259*SuperMarket_Analysis[[#This Row],[Quantity]]</f>
        <v>15546</v>
      </c>
    </row>
    <row r="260" spans="1:19" x14ac:dyDescent="0.25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177</v>
      </c>
      <c r="F260" s="1" t="s">
        <v>28</v>
      </c>
      <c r="G260" s="3">
        <v>3225</v>
      </c>
      <c r="H260">
        <v>4</v>
      </c>
      <c r="I260" s="3">
        <v>645</v>
      </c>
      <c r="J260">
        <v>13545</v>
      </c>
      <c r="K260" t="str">
        <f t="shared" si="4"/>
        <v>fevereiro</v>
      </c>
      <c r="L260" s="4">
        <v>43509</v>
      </c>
      <c r="M260" s="2">
        <v>0.52638888888888891</v>
      </c>
      <c r="N260" s="1" t="s">
        <v>23</v>
      </c>
      <c r="O260" s="3">
        <v>129</v>
      </c>
      <c r="P260">
        <v>4761904762</v>
      </c>
      <c r="Q260" s="3">
        <v>645</v>
      </c>
      <c r="R260">
        <v>65</v>
      </c>
      <c r="S260" s="3">
        <f>G260*SuperMarket_Analysis[[#This Row],[Quantity]]</f>
        <v>12900</v>
      </c>
    </row>
    <row r="261" spans="1:19" x14ac:dyDescent="0.25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177</v>
      </c>
      <c r="F261" s="1" t="s">
        <v>28</v>
      </c>
      <c r="G261" s="3">
        <v>6594</v>
      </c>
      <c r="H261">
        <v>4</v>
      </c>
      <c r="I261" s="3">
        <v>13188</v>
      </c>
      <c r="J261">
        <v>276948</v>
      </c>
      <c r="K261" t="str">
        <f t="shared" si="4"/>
        <v>fevereiro</v>
      </c>
      <c r="L261" s="4">
        <v>43503</v>
      </c>
      <c r="M261" s="2">
        <v>0.54513888888888884</v>
      </c>
      <c r="N261" s="1" t="s">
        <v>32</v>
      </c>
      <c r="O261" s="3">
        <v>26376</v>
      </c>
      <c r="P261">
        <v>4761904762</v>
      </c>
      <c r="Q261" s="3">
        <v>13188</v>
      </c>
      <c r="R261">
        <v>69</v>
      </c>
      <c r="S261" s="3">
        <f>G261*SuperMarket_Analysis[[#This Row],[Quantity]]</f>
        <v>26376</v>
      </c>
    </row>
    <row r="262" spans="1:19" x14ac:dyDescent="0.25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3">
        <v>7506</v>
      </c>
      <c r="H262">
        <v>9</v>
      </c>
      <c r="I262" s="3">
        <v>33777</v>
      </c>
      <c r="J262">
        <v>709317</v>
      </c>
      <c r="K262" t="str">
        <f t="shared" si="4"/>
        <v>março</v>
      </c>
      <c r="L262" s="4">
        <v>43543</v>
      </c>
      <c r="M262" s="2">
        <v>0.55902777777777779</v>
      </c>
      <c r="N262" s="1" t="s">
        <v>23</v>
      </c>
      <c r="O262" s="3">
        <v>67554</v>
      </c>
      <c r="P262">
        <v>4761904762</v>
      </c>
      <c r="Q262" s="3">
        <v>33777</v>
      </c>
      <c r="R262">
        <v>62</v>
      </c>
      <c r="S262" s="3">
        <f>G262*SuperMarket_Analysis[[#This Row],[Quantity]]</f>
        <v>67554</v>
      </c>
    </row>
    <row r="263" spans="1:19" x14ac:dyDescent="0.25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45</v>
      </c>
      <c r="G263" s="3">
        <v>1645</v>
      </c>
      <c r="H263">
        <v>4</v>
      </c>
      <c r="I263" s="3">
        <v>329</v>
      </c>
      <c r="J263">
        <v>6909</v>
      </c>
      <c r="K263" t="str">
        <f t="shared" si="4"/>
        <v>março</v>
      </c>
      <c r="L263" s="4">
        <v>43531</v>
      </c>
      <c r="M263" s="2">
        <v>0.62013888888888891</v>
      </c>
      <c r="N263" s="1" t="s">
        <v>23</v>
      </c>
      <c r="O263" s="3">
        <v>658</v>
      </c>
      <c r="P263">
        <v>4761904762</v>
      </c>
      <c r="Q263" s="3">
        <v>329</v>
      </c>
      <c r="R263">
        <v>56</v>
      </c>
      <c r="S263" s="3">
        <f>G263*SuperMarket_Analysis[[#This Row],[Quantity]]</f>
        <v>6580</v>
      </c>
    </row>
    <row r="264" spans="1:19" x14ac:dyDescent="0.25">
      <c r="A264" s="1" t="s">
        <v>298</v>
      </c>
      <c r="B264" s="1" t="s">
        <v>41</v>
      </c>
      <c r="C264" s="1" t="s">
        <v>42</v>
      </c>
      <c r="D264" s="1" t="s">
        <v>20</v>
      </c>
      <c r="E264" s="1" t="s">
        <v>21</v>
      </c>
      <c r="F264" s="1" t="s">
        <v>45</v>
      </c>
      <c r="G264" s="3">
        <v>383</v>
      </c>
      <c r="H264">
        <v>4</v>
      </c>
      <c r="I264" s="3">
        <v>766</v>
      </c>
      <c r="J264">
        <v>16086</v>
      </c>
      <c r="K264" t="str">
        <f t="shared" si="4"/>
        <v>março</v>
      </c>
      <c r="L264" s="4">
        <v>43537</v>
      </c>
      <c r="M264" s="2">
        <v>0.80694444444444446</v>
      </c>
      <c r="N264" s="1" t="s">
        <v>29</v>
      </c>
      <c r="O264" s="3">
        <v>1532</v>
      </c>
      <c r="P264">
        <v>4761904762</v>
      </c>
      <c r="Q264" s="3">
        <v>766</v>
      </c>
      <c r="R264">
        <v>57</v>
      </c>
      <c r="S264" s="3">
        <f>G264*SuperMarket_Analysis[[#This Row],[Quantity]]</f>
        <v>1532</v>
      </c>
    </row>
    <row r="265" spans="1:19" x14ac:dyDescent="0.25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35</v>
      </c>
      <c r="G265" s="3">
        <v>2224</v>
      </c>
      <c r="H265">
        <v>10</v>
      </c>
      <c r="I265" s="3">
        <v>1112</v>
      </c>
      <c r="J265">
        <v>23352</v>
      </c>
      <c r="K265" t="str">
        <f t="shared" si="4"/>
        <v>fevereiro</v>
      </c>
      <c r="L265" s="4">
        <v>43505</v>
      </c>
      <c r="M265" s="2">
        <v>0.45833333333333331</v>
      </c>
      <c r="N265" s="1" t="s">
        <v>29</v>
      </c>
      <c r="O265" s="3">
        <v>2224</v>
      </c>
      <c r="P265">
        <v>4761904762</v>
      </c>
      <c r="Q265" s="3">
        <v>1112</v>
      </c>
      <c r="R265">
        <v>42</v>
      </c>
      <c r="S265" s="3">
        <f>G265*SuperMarket_Analysis[[#This Row],[Quantity]]</f>
        <v>22240</v>
      </c>
    </row>
    <row r="266" spans="1:19" x14ac:dyDescent="0.25">
      <c r="A266" s="1" t="s">
        <v>300</v>
      </c>
      <c r="B266" s="1" t="s">
        <v>41</v>
      </c>
      <c r="C266" s="1" t="s">
        <v>42</v>
      </c>
      <c r="D266" s="1" t="s">
        <v>27</v>
      </c>
      <c r="E266" s="1" t="s">
        <v>177</v>
      </c>
      <c r="F266" s="1" t="s">
        <v>35</v>
      </c>
      <c r="G266" s="3">
        <v>5445</v>
      </c>
      <c r="H266">
        <v>1</v>
      </c>
      <c r="I266" s="3">
        <v>27225</v>
      </c>
      <c r="J266">
        <v>571725</v>
      </c>
      <c r="K266" t="str">
        <f t="shared" si="4"/>
        <v>fevereiro</v>
      </c>
      <c r="L266" s="4">
        <v>43522</v>
      </c>
      <c r="M266" s="2">
        <v>0.80833333333333335</v>
      </c>
      <c r="N266" s="1" t="s">
        <v>23</v>
      </c>
      <c r="O266" s="3">
        <v>5445</v>
      </c>
      <c r="P266">
        <v>4761904762</v>
      </c>
      <c r="Q266" s="3">
        <v>27225</v>
      </c>
      <c r="R266">
        <v>79</v>
      </c>
      <c r="S266" s="3">
        <f>G266*SuperMarket_Analysis[[#This Row],[Quantity]]</f>
        <v>5445</v>
      </c>
    </row>
    <row r="267" spans="1:19" x14ac:dyDescent="0.25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35</v>
      </c>
      <c r="G267" s="3">
        <v>984</v>
      </c>
      <c r="H267">
        <v>7</v>
      </c>
      <c r="I267" s="3">
        <v>3444</v>
      </c>
      <c r="J267">
        <v>72324</v>
      </c>
      <c r="K267" t="str">
        <f t="shared" si="4"/>
        <v>março</v>
      </c>
      <c r="L267" s="4">
        <v>43536</v>
      </c>
      <c r="M267" s="2">
        <v>0.52986111111111112</v>
      </c>
      <c r="N267" s="1" t="s">
        <v>32</v>
      </c>
      <c r="O267" s="3">
        <v>6888</v>
      </c>
      <c r="P267">
        <v>4761904762</v>
      </c>
      <c r="Q267" s="3">
        <v>3444</v>
      </c>
      <c r="R267">
        <v>87</v>
      </c>
      <c r="S267" s="3">
        <f>G267*SuperMarket_Analysis[[#This Row],[Quantity]]</f>
        <v>6888</v>
      </c>
    </row>
    <row r="268" spans="1:19" x14ac:dyDescent="0.25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177</v>
      </c>
      <c r="F268" s="1" t="s">
        <v>31</v>
      </c>
      <c r="G268" s="3">
        <v>3547</v>
      </c>
      <c r="H268">
        <v>4</v>
      </c>
      <c r="I268" s="3">
        <v>7094</v>
      </c>
      <c r="J268">
        <v>148974</v>
      </c>
      <c r="K268" t="str">
        <f t="shared" si="4"/>
        <v>março</v>
      </c>
      <c r="L268" s="4">
        <v>43538</v>
      </c>
      <c r="M268" s="2">
        <v>0.72361111111111109</v>
      </c>
      <c r="N268" s="1" t="s">
        <v>32</v>
      </c>
      <c r="O268" s="3">
        <v>14188</v>
      </c>
      <c r="P268">
        <v>4761904762</v>
      </c>
      <c r="Q268" s="3">
        <v>7094</v>
      </c>
      <c r="R268">
        <v>69</v>
      </c>
      <c r="S268" s="3">
        <f>G268*SuperMarket_Analysis[[#This Row],[Quantity]]</f>
        <v>14188</v>
      </c>
    </row>
    <row r="269" spans="1:19" x14ac:dyDescent="0.25">
      <c r="A269" s="1" t="s">
        <v>303</v>
      </c>
      <c r="B269" s="1" t="s">
        <v>41</v>
      </c>
      <c r="C269" s="1" t="s">
        <v>42</v>
      </c>
      <c r="D269" s="1" t="s">
        <v>20</v>
      </c>
      <c r="E269" s="1" t="s">
        <v>21</v>
      </c>
      <c r="F269" s="1" t="s">
        <v>43</v>
      </c>
      <c r="G269" s="3">
        <v>746</v>
      </c>
      <c r="H269">
        <v>10</v>
      </c>
      <c r="I269" s="3">
        <v>373</v>
      </c>
      <c r="J269">
        <v>7833</v>
      </c>
      <c r="K269" t="str">
        <f t="shared" si="4"/>
        <v>janeiro</v>
      </c>
      <c r="L269" s="4">
        <v>43473</v>
      </c>
      <c r="M269" s="2">
        <v>0.87152777777777779</v>
      </c>
      <c r="N269" s="1" t="s">
        <v>29</v>
      </c>
      <c r="O269" s="3">
        <v>746</v>
      </c>
      <c r="P269">
        <v>4761904762</v>
      </c>
      <c r="Q269" s="3">
        <v>373</v>
      </c>
      <c r="R269">
        <v>95</v>
      </c>
      <c r="S269" s="3">
        <f>G269*SuperMarket_Analysis[[#This Row],[Quantity]]</f>
        <v>7460</v>
      </c>
    </row>
    <row r="270" spans="1:19" x14ac:dyDescent="0.25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177</v>
      </c>
      <c r="F270" s="1" t="s">
        <v>31</v>
      </c>
      <c r="G270" s="3">
        <v>7074</v>
      </c>
      <c r="H270">
        <v>4</v>
      </c>
      <c r="I270" s="3">
        <v>14148</v>
      </c>
      <c r="J270">
        <v>297108</v>
      </c>
      <c r="K270" t="str">
        <f t="shared" si="4"/>
        <v>janeiro</v>
      </c>
      <c r="L270" s="4">
        <v>43470</v>
      </c>
      <c r="M270" s="2">
        <v>0.67013888888888884</v>
      </c>
      <c r="N270" s="1" t="s">
        <v>32</v>
      </c>
      <c r="O270" s="3">
        <v>28296</v>
      </c>
      <c r="P270">
        <v>4761904762</v>
      </c>
      <c r="Q270" s="3">
        <v>14148</v>
      </c>
      <c r="R270">
        <v>44</v>
      </c>
      <c r="S270" s="3">
        <f>G270*SuperMarket_Analysis[[#This Row],[Quantity]]</f>
        <v>28296</v>
      </c>
    </row>
    <row r="271" spans="1:19" x14ac:dyDescent="0.25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3">
        <v>3554</v>
      </c>
      <c r="H271">
        <v>10</v>
      </c>
      <c r="I271" s="3">
        <v>1777</v>
      </c>
      <c r="J271">
        <v>37317</v>
      </c>
      <c r="K271" t="str">
        <f t="shared" si="4"/>
        <v>janeiro</v>
      </c>
      <c r="L271" s="4">
        <v>43469</v>
      </c>
      <c r="M271" s="2">
        <v>0.56527777777777777</v>
      </c>
      <c r="N271" s="1" t="s">
        <v>23</v>
      </c>
      <c r="O271" s="3">
        <v>3554</v>
      </c>
      <c r="P271">
        <v>4761904762</v>
      </c>
      <c r="Q271" s="3">
        <v>1777</v>
      </c>
      <c r="R271">
        <v>7</v>
      </c>
      <c r="S271" s="3">
        <f>G271*SuperMarket_Analysis[[#This Row],[Quantity]]</f>
        <v>35540</v>
      </c>
    </row>
    <row r="272" spans="1:19" x14ac:dyDescent="0.25">
      <c r="A272" s="1" t="s">
        <v>306</v>
      </c>
      <c r="B272" s="1" t="s">
        <v>41</v>
      </c>
      <c r="C272" s="1" t="s">
        <v>42</v>
      </c>
      <c r="D272" s="1" t="s">
        <v>27</v>
      </c>
      <c r="E272" s="1" t="s">
        <v>21</v>
      </c>
      <c r="F272" s="1" t="s">
        <v>35</v>
      </c>
      <c r="G272" s="3">
        <v>6743</v>
      </c>
      <c r="H272">
        <v>5</v>
      </c>
      <c r="I272" s="3">
        <v>168575</v>
      </c>
      <c r="J272">
        <v>3540075</v>
      </c>
      <c r="K272" t="str">
        <f t="shared" si="4"/>
        <v>março</v>
      </c>
      <c r="L272" s="4">
        <v>43530</v>
      </c>
      <c r="M272" s="2">
        <v>0.75902777777777775</v>
      </c>
      <c r="N272" s="1" t="s">
        <v>23</v>
      </c>
      <c r="O272" s="3">
        <v>33715</v>
      </c>
      <c r="P272">
        <v>4761904762</v>
      </c>
      <c r="Q272" s="3">
        <v>168575</v>
      </c>
      <c r="R272">
        <v>63</v>
      </c>
      <c r="S272" s="3">
        <f>G272*SuperMarket_Analysis[[#This Row],[Quantity]]</f>
        <v>33715</v>
      </c>
    </row>
    <row r="273" spans="1:19" x14ac:dyDescent="0.25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3">
        <v>2112</v>
      </c>
      <c r="H273">
        <v>2</v>
      </c>
      <c r="I273" s="3">
        <v>2112</v>
      </c>
      <c r="J273">
        <v>44352</v>
      </c>
      <c r="K273" t="str">
        <f t="shared" si="4"/>
        <v>janeiro</v>
      </c>
      <c r="L273" s="4">
        <v>43468</v>
      </c>
      <c r="M273" s="2">
        <v>0.80347222222222225</v>
      </c>
      <c r="N273" s="1" t="s">
        <v>29</v>
      </c>
      <c r="O273" s="3">
        <v>4224</v>
      </c>
      <c r="P273">
        <v>4761904762</v>
      </c>
      <c r="Q273" s="3">
        <v>2112</v>
      </c>
      <c r="R273">
        <v>97</v>
      </c>
      <c r="S273" s="3">
        <f>G273*SuperMarket_Analysis[[#This Row],[Quantity]]</f>
        <v>4224</v>
      </c>
    </row>
    <row r="274" spans="1:19" x14ac:dyDescent="0.25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3">
        <v>2154</v>
      </c>
      <c r="H274">
        <v>9</v>
      </c>
      <c r="I274" s="3">
        <v>9693</v>
      </c>
      <c r="J274">
        <v>203553</v>
      </c>
      <c r="K274" t="str">
        <f t="shared" si="4"/>
        <v>janeiro</v>
      </c>
      <c r="L274" s="4">
        <v>43472</v>
      </c>
      <c r="M274" s="2">
        <v>0.48888888888888887</v>
      </c>
      <c r="N274" s="1" t="s">
        <v>32</v>
      </c>
      <c r="O274" s="3">
        <v>19386</v>
      </c>
      <c r="P274">
        <v>4761904762</v>
      </c>
      <c r="Q274" s="3">
        <v>9693</v>
      </c>
      <c r="R274">
        <v>88</v>
      </c>
      <c r="S274" s="3">
        <f>G274*SuperMarket_Analysis[[#This Row],[Quantity]]</f>
        <v>19386</v>
      </c>
    </row>
    <row r="275" spans="1:19" x14ac:dyDescent="0.25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3">
        <v>1203</v>
      </c>
      <c r="H275">
        <v>2</v>
      </c>
      <c r="I275" s="3">
        <v>1203</v>
      </c>
      <c r="J275">
        <v>25263</v>
      </c>
      <c r="K275" t="str">
        <f t="shared" si="4"/>
        <v>janeiro</v>
      </c>
      <c r="L275" s="4">
        <v>43492</v>
      </c>
      <c r="M275" s="2">
        <v>0.66041666666666665</v>
      </c>
      <c r="N275" s="1" t="s">
        <v>29</v>
      </c>
      <c r="O275" s="3">
        <v>2406</v>
      </c>
      <c r="P275">
        <v>4761904762</v>
      </c>
      <c r="Q275" s="3">
        <v>1203</v>
      </c>
      <c r="R275">
        <v>51</v>
      </c>
      <c r="S275" s="3">
        <f>G275*SuperMarket_Analysis[[#This Row],[Quantity]]</f>
        <v>2406</v>
      </c>
    </row>
    <row r="276" spans="1:19" x14ac:dyDescent="0.25">
      <c r="A276" s="1" t="s">
        <v>310</v>
      </c>
      <c r="B276" s="1" t="s">
        <v>41</v>
      </c>
      <c r="C276" s="1" t="s">
        <v>42</v>
      </c>
      <c r="D276" s="1" t="s">
        <v>27</v>
      </c>
      <c r="E276" s="1" t="s">
        <v>21</v>
      </c>
      <c r="F276" s="1" t="s">
        <v>22</v>
      </c>
      <c r="G276" s="3">
        <v>9971</v>
      </c>
      <c r="H276">
        <v>6</v>
      </c>
      <c r="I276" s="3">
        <v>29913</v>
      </c>
      <c r="J276">
        <v>628173</v>
      </c>
      <c r="K276" t="str">
        <f t="shared" si="4"/>
        <v>fevereiro</v>
      </c>
      <c r="L276" s="4">
        <v>43522</v>
      </c>
      <c r="M276" s="2">
        <v>0.70277777777777772</v>
      </c>
      <c r="N276" s="1" t="s">
        <v>23</v>
      </c>
      <c r="O276" s="3">
        <v>59826</v>
      </c>
      <c r="P276">
        <v>4761904762</v>
      </c>
      <c r="Q276" s="3">
        <v>29913</v>
      </c>
      <c r="R276">
        <v>79</v>
      </c>
      <c r="S276" s="3">
        <f>G276*SuperMarket_Analysis[[#This Row],[Quantity]]</f>
        <v>59826</v>
      </c>
    </row>
    <row r="277" spans="1:19" x14ac:dyDescent="0.25">
      <c r="A277" s="1" t="s">
        <v>311</v>
      </c>
      <c r="B277" s="1" t="s">
        <v>41</v>
      </c>
      <c r="C277" s="1" t="s">
        <v>42</v>
      </c>
      <c r="D277" s="1" t="s">
        <v>27</v>
      </c>
      <c r="E277" s="1" t="s">
        <v>177</v>
      </c>
      <c r="F277" s="1" t="s">
        <v>45</v>
      </c>
      <c r="G277" s="3">
        <v>4797</v>
      </c>
      <c r="H277">
        <v>7</v>
      </c>
      <c r="I277" s="3">
        <v>167895</v>
      </c>
      <c r="J277">
        <v>3525795</v>
      </c>
      <c r="K277" t="str">
        <f t="shared" si="4"/>
        <v>janeiro</v>
      </c>
      <c r="L277" s="4">
        <v>43472</v>
      </c>
      <c r="M277" s="2">
        <v>0.86944444444444446</v>
      </c>
      <c r="N277" s="1" t="s">
        <v>29</v>
      </c>
      <c r="O277" s="3">
        <v>33579</v>
      </c>
      <c r="P277">
        <v>4761904762</v>
      </c>
      <c r="Q277" s="3">
        <v>167895</v>
      </c>
      <c r="R277">
        <v>62</v>
      </c>
      <c r="S277" s="3">
        <f>G277*SuperMarket_Analysis[[#This Row],[Quantity]]</f>
        <v>33579</v>
      </c>
    </row>
    <row r="278" spans="1:19" x14ac:dyDescent="0.25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3">
        <v>2182</v>
      </c>
      <c r="H278">
        <v>10</v>
      </c>
      <c r="I278" s="3">
        <v>1091</v>
      </c>
      <c r="J278">
        <v>22911</v>
      </c>
      <c r="K278" t="str">
        <f t="shared" si="4"/>
        <v>janeiro</v>
      </c>
      <c r="L278" s="4">
        <v>43472</v>
      </c>
      <c r="M278" s="2">
        <v>0.73333333333333328</v>
      </c>
      <c r="N278" s="1" t="s">
        <v>29</v>
      </c>
      <c r="O278" s="3">
        <v>2182</v>
      </c>
      <c r="P278">
        <v>4761904762</v>
      </c>
      <c r="Q278" s="3">
        <v>1091</v>
      </c>
      <c r="R278">
        <v>71</v>
      </c>
      <c r="S278" s="3">
        <f>G278*SuperMarket_Analysis[[#This Row],[Quantity]]</f>
        <v>21820</v>
      </c>
    </row>
    <row r="279" spans="1:19" x14ac:dyDescent="0.25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45</v>
      </c>
      <c r="G279" s="3">
        <v>9542</v>
      </c>
      <c r="H279">
        <v>4</v>
      </c>
      <c r="I279" s="3">
        <v>19084</v>
      </c>
      <c r="J279">
        <v>400764</v>
      </c>
      <c r="K279" t="str">
        <f t="shared" si="4"/>
        <v>fevereiro</v>
      </c>
      <c r="L279" s="4">
        <v>43498</v>
      </c>
      <c r="M279" s="2">
        <v>0.55763888888888891</v>
      </c>
      <c r="N279" s="1" t="s">
        <v>23</v>
      </c>
      <c r="O279" s="3">
        <v>38168</v>
      </c>
      <c r="P279">
        <v>4761904762</v>
      </c>
      <c r="Q279" s="3">
        <v>19084</v>
      </c>
      <c r="R279">
        <v>64</v>
      </c>
      <c r="S279" s="3">
        <f>G279*SuperMarket_Analysis[[#This Row],[Quantity]]</f>
        <v>38168</v>
      </c>
    </row>
    <row r="280" spans="1:19" x14ac:dyDescent="0.25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177</v>
      </c>
      <c r="F280" s="1" t="s">
        <v>45</v>
      </c>
      <c r="G280" s="3">
        <v>7099</v>
      </c>
      <c r="H280">
        <v>10</v>
      </c>
      <c r="I280" s="3">
        <v>35495</v>
      </c>
      <c r="J280">
        <v>745395</v>
      </c>
      <c r="K280" t="str">
        <f t="shared" si="4"/>
        <v>março</v>
      </c>
      <c r="L280" s="4">
        <v>43544</v>
      </c>
      <c r="M280" s="2">
        <v>0.68611111111111112</v>
      </c>
      <c r="N280" s="1" t="s">
        <v>29</v>
      </c>
      <c r="O280" s="3">
        <v>7099</v>
      </c>
      <c r="P280">
        <v>4761904762</v>
      </c>
      <c r="Q280" s="3">
        <v>35495</v>
      </c>
      <c r="R280">
        <v>57</v>
      </c>
      <c r="S280" s="3">
        <f>G280*SuperMarket_Analysis[[#This Row],[Quantity]]</f>
        <v>70990</v>
      </c>
    </row>
    <row r="281" spans="1:19" x14ac:dyDescent="0.25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177</v>
      </c>
      <c r="F281" s="1" t="s">
        <v>35</v>
      </c>
      <c r="G281" s="3">
        <v>4402</v>
      </c>
      <c r="H281">
        <v>10</v>
      </c>
      <c r="I281" s="3">
        <v>2201</v>
      </c>
      <c r="J281">
        <v>46221</v>
      </c>
      <c r="K281" t="str">
        <f t="shared" si="4"/>
        <v>março</v>
      </c>
      <c r="L281" s="4">
        <v>43544</v>
      </c>
      <c r="M281" s="2">
        <v>0.83125000000000004</v>
      </c>
      <c r="N281" s="1" t="s">
        <v>32</v>
      </c>
      <c r="O281" s="3">
        <v>4402</v>
      </c>
      <c r="P281">
        <v>4761904762</v>
      </c>
      <c r="Q281" s="3">
        <v>2201</v>
      </c>
      <c r="R281">
        <v>96</v>
      </c>
      <c r="S281" s="3">
        <f>G281*SuperMarket_Analysis[[#This Row],[Quantity]]</f>
        <v>44020</v>
      </c>
    </row>
    <row r="282" spans="1:19" x14ac:dyDescent="0.25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3">
        <v>6996</v>
      </c>
      <c r="H282">
        <v>8</v>
      </c>
      <c r="I282" s="3">
        <v>27984</v>
      </c>
      <c r="J282">
        <v>587664</v>
      </c>
      <c r="K282" t="str">
        <f t="shared" si="4"/>
        <v>fevereiro</v>
      </c>
      <c r="L282" s="4">
        <v>43511</v>
      </c>
      <c r="M282" s="2">
        <v>0.70902777777777781</v>
      </c>
      <c r="N282" s="1" t="s">
        <v>32</v>
      </c>
      <c r="O282" s="3">
        <v>55968</v>
      </c>
      <c r="P282">
        <v>4761904762</v>
      </c>
      <c r="Q282" s="3">
        <v>27984</v>
      </c>
      <c r="R282">
        <v>64</v>
      </c>
      <c r="S282" s="3">
        <f>G282*SuperMarket_Analysis[[#This Row],[Quantity]]</f>
        <v>55968</v>
      </c>
    </row>
    <row r="283" spans="1:19" x14ac:dyDescent="0.25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177</v>
      </c>
      <c r="F283" s="1" t="s">
        <v>31</v>
      </c>
      <c r="G283" s="3">
        <v>37</v>
      </c>
      <c r="H283">
        <v>1</v>
      </c>
      <c r="I283" s="3">
        <v>185</v>
      </c>
      <c r="J283">
        <v>3885</v>
      </c>
      <c r="K283" t="str">
        <f t="shared" si="4"/>
        <v>março</v>
      </c>
      <c r="L283" s="4">
        <v>43530</v>
      </c>
      <c r="M283" s="2">
        <v>0.56180555555555556</v>
      </c>
      <c r="N283" s="1" t="s">
        <v>32</v>
      </c>
      <c r="O283" s="3">
        <v>37</v>
      </c>
      <c r="P283">
        <v>4761904762</v>
      </c>
      <c r="Q283" s="3">
        <v>185</v>
      </c>
      <c r="R283">
        <v>79</v>
      </c>
      <c r="S283" s="3">
        <f>G283*SuperMarket_Analysis[[#This Row],[Quantity]]</f>
        <v>37</v>
      </c>
    </row>
    <row r="284" spans="1:19" x14ac:dyDescent="0.25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35</v>
      </c>
      <c r="G284" s="3">
        <v>1534</v>
      </c>
      <c r="H284">
        <v>1</v>
      </c>
      <c r="I284" s="3">
        <v>767</v>
      </c>
      <c r="J284">
        <v>16107</v>
      </c>
      <c r="K284" t="str">
        <f t="shared" si="4"/>
        <v>janeiro</v>
      </c>
      <c r="L284" s="4">
        <v>43471</v>
      </c>
      <c r="M284" s="2">
        <v>0.46458333333333335</v>
      </c>
      <c r="N284" s="1" t="s">
        <v>29</v>
      </c>
      <c r="O284" s="3">
        <v>1534</v>
      </c>
      <c r="P284">
        <v>4761904762</v>
      </c>
      <c r="Q284" s="3">
        <v>767</v>
      </c>
      <c r="R284">
        <v>65</v>
      </c>
      <c r="S284" s="3">
        <f>G284*SuperMarket_Analysis[[#This Row],[Quantity]]</f>
        <v>1534</v>
      </c>
    </row>
    <row r="285" spans="1:19" x14ac:dyDescent="0.25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177</v>
      </c>
      <c r="F285" s="1" t="s">
        <v>22</v>
      </c>
      <c r="G285" s="3">
        <v>9983</v>
      </c>
      <c r="H285">
        <v>6</v>
      </c>
      <c r="I285" s="3">
        <v>29949</v>
      </c>
      <c r="J285">
        <v>628929</v>
      </c>
      <c r="K285" t="str">
        <f t="shared" si="4"/>
        <v>março</v>
      </c>
      <c r="L285" s="4">
        <v>43528</v>
      </c>
      <c r="M285" s="2">
        <v>0.62638888888888888</v>
      </c>
      <c r="N285" s="1" t="s">
        <v>23</v>
      </c>
      <c r="O285" s="3">
        <v>59898</v>
      </c>
      <c r="P285">
        <v>4761904762</v>
      </c>
      <c r="Q285" s="3">
        <v>29949</v>
      </c>
      <c r="R285">
        <v>85</v>
      </c>
      <c r="S285" s="3">
        <f>G285*SuperMarket_Analysis[[#This Row],[Quantity]]</f>
        <v>59898</v>
      </c>
    </row>
    <row r="286" spans="1:19" x14ac:dyDescent="0.25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3">
        <v>4767</v>
      </c>
      <c r="H286">
        <v>4</v>
      </c>
      <c r="I286" s="3">
        <v>9534</v>
      </c>
      <c r="J286">
        <v>200214</v>
      </c>
      <c r="K286" t="str">
        <f t="shared" si="4"/>
        <v>março</v>
      </c>
      <c r="L286" s="4">
        <v>43536</v>
      </c>
      <c r="M286" s="2">
        <v>0.59791666666666665</v>
      </c>
      <c r="N286" s="1" t="s">
        <v>29</v>
      </c>
      <c r="O286" s="3">
        <v>19068</v>
      </c>
      <c r="P286">
        <v>4761904762</v>
      </c>
      <c r="Q286" s="3">
        <v>9534</v>
      </c>
      <c r="R286">
        <v>91</v>
      </c>
      <c r="S286" s="3">
        <f>G286*SuperMarket_Analysis[[#This Row],[Quantity]]</f>
        <v>19068</v>
      </c>
    </row>
    <row r="287" spans="1:19" x14ac:dyDescent="0.25">
      <c r="A287" s="1" t="s">
        <v>321</v>
      </c>
      <c r="B287" s="1" t="s">
        <v>41</v>
      </c>
      <c r="C287" s="1" t="s">
        <v>42</v>
      </c>
      <c r="D287" s="1" t="s">
        <v>27</v>
      </c>
      <c r="E287" s="1" t="s">
        <v>177</v>
      </c>
      <c r="F287" s="1" t="s">
        <v>22</v>
      </c>
      <c r="G287" s="3">
        <v>6668</v>
      </c>
      <c r="H287">
        <v>5</v>
      </c>
      <c r="I287" s="3">
        <v>1667</v>
      </c>
      <c r="J287">
        <v>35007</v>
      </c>
      <c r="K287" t="str">
        <f t="shared" si="4"/>
        <v>fevereiro</v>
      </c>
      <c r="L287" s="4">
        <v>43516</v>
      </c>
      <c r="M287" s="2">
        <v>0.75069444444444444</v>
      </c>
      <c r="N287" s="1" t="s">
        <v>29</v>
      </c>
      <c r="O287" s="3">
        <v>3334</v>
      </c>
      <c r="P287">
        <v>4761904762</v>
      </c>
      <c r="Q287" s="3">
        <v>1667</v>
      </c>
      <c r="R287">
        <v>76</v>
      </c>
      <c r="S287" s="3">
        <f>G287*SuperMarket_Analysis[[#This Row],[Quantity]]</f>
        <v>33340</v>
      </c>
    </row>
    <row r="288" spans="1:19" x14ac:dyDescent="0.25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177</v>
      </c>
      <c r="F288" s="1" t="s">
        <v>31</v>
      </c>
      <c r="G288" s="3">
        <v>7486</v>
      </c>
      <c r="H288">
        <v>1</v>
      </c>
      <c r="I288" s="3">
        <v>3743</v>
      </c>
      <c r="J288">
        <v>78603</v>
      </c>
      <c r="K288" t="str">
        <f t="shared" si="4"/>
        <v>março</v>
      </c>
      <c r="L288" s="4">
        <v>43548</v>
      </c>
      <c r="M288" s="2">
        <v>0.61736111111111114</v>
      </c>
      <c r="N288" s="1" t="s">
        <v>29</v>
      </c>
      <c r="O288" s="3">
        <v>7486</v>
      </c>
      <c r="P288">
        <v>4761904762</v>
      </c>
      <c r="Q288" s="3">
        <v>3743</v>
      </c>
      <c r="R288">
        <v>69</v>
      </c>
      <c r="S288" s="3">
        <f>G288*SuperMarket_Analysis[[#This Row],[Quantity]]</f>
        <v>7486</v>
      </c>
    </row>
    <row r="289" spans="1:19" x14ac:dyDescent="0.25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35</v>
      </c>
      <c r="G289" s="3">
        <v>2375</v>
      </c>
      <c r="H289">
        <v>9</v>
      </c>
      <c r="I289" s="3">
        <v>106875</v>
      </c>
      <c r="J289">
        <v>2244375</v>
      </c>
      <c r="K289" t="str">
        <f t="shared" si="4"/>
        <v>janeiro</v>
      </c>
      <c r="L289" s="4">
        <v>43496</v>
      </c>
      <c r="M289" s="2">
        <v>0.50138888888888888</v>
      </c>
      <c r="N289" s="1" t="s">
        <v>29</v>
      </c>
      <c r="O289" s="3">
        <v>21375</v>
      </c>
      <c r="P289">
        <v>4761904762</v>
      </c>
      <c r="Q289" s="3">
        <v>106875</v>
      </c>
      <c r="R289">
        <v>95</v>
      </c>
      <c r="S289" s="3">
        <f>G289*SuperMarket_Analysis[[#This Row],[Quantity]]</f>
        <v>21375</v>
      </c>
    </row>
    <row r="290" spans="1:19" x14ac:dyDescent="0.25">
      <c r="A290" s="1" t="s">
        <v>324</v>
      </c>
      <c r="B290" s="1" t="s">
        <v>41</v>
      </c>
      <c r="C290" s="1" t="s">
        <v>42</v>
      </c>
      <c r="D290" s="1" t="s">
        <v>27</v>
      </c>
      <c r="E290" s="1" t="s">
        <v>21</v>
      </c>
      <c r="F290" s="1" t="s">
        <v>43</v>
      </c>
      <c r="G290" s="3">
        <v>4851</v>
      </c>
      <c r="H290">
        <v>7</v>
      </c>
      <c r="I290" s="3">
        <v>169785</v>
      </c>
      <c r="J290">
        <v>3565485</v>
      </c>
      <c r="K290" t="str">
        <f t="shared" si="4"/>
        <v>janeiro</v>
      </c>
      <c r="L290" s="4">
        <v>43490</v>
      </c>
      <c r="M290" s="2">
        <v>0.5625</v>
      </c>
      <c r="N290" s="1" t="s">
        <v>32</v>
      </c>
      <c r="O290" s="3">
        <v>33957</v>
      </c>
      <c r="P290">
        <v>4761904762</v>
      </c>
      <c r="Q290" s="3">
        <v>169785</v>
      </c>
      <c r="R290">
        <v>52</v>
      </c>
      <c r="S290" s="3">
        <f>G290*SuperMarket_Analysis[[#This Row],[Quantity]]</f>
        <v>33957</v>
      </c>
    </row>
    <row r="291" spans="1:19" x14ac:dyDescent="0.25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3">
        <v>9488</v>
      </c>
      <c r="H291">
        <v>7</v>
      </c>
      <c r="I291" s="3">
        <v>33208</v>
      </c>
      <c r="J291">
        <v>697368</v>
      </c>
      <c r="K291" t="str">
        <f t="shared" si="4"/>
        <v>fevereiro</v>
      </c>
      <c r="L291" s="4">
        <v>43499</v>
      </c>
      <c r="M291" s="2">
        <v>0.60972222222222228</v>
      </c>
      <c r="N291" s="1" t="s">
        <v>29</v>
      </c>
      <c r="O291" s="3">
        <v>66416</v>
      </c>
      <c r="P291">
        <v>4761904762</v>
      </c>
      <c r="Q291" s="3">
        <v>33208</v>
      </c>
      <c r="R291">
        <v>42</v>
      </c>
      <c r="S291" s="3">
        <f>G291*SuperMarket_Analysis[[#This Row],[Quantity]]</f>
        <v>66416</v>
      </c>
    </row>
    <row r="292" spans="1:19" x14ac:dyDescent="0.25">
      <c r="A292" s="1" t="s">
        <v>326</v>
      </c>
      <c r="B292" s="1" t="s">
        <v>41</v>
      </c>
      <c r="C292" s="1" t="s">
        <v>42</v>
      </c>
      <c r="D292" s="1" t="s">
        <v>20</v>
      </c>
      <c r="E292" s="1" t="s">
        <v>177</v>
      </c>
      <c r="F292" s="1" t="s">
        <v>28</v>
      </c>
      <c r="G292" s="3">
        <v>403</v>
      </c>
      <c r="H292">
        <v>10</v>
      </c>
      <c r="I292" s="3">
        <v>2015</v>
      </c>
      <c r="J292">
        <v>42315</v>
      </c>
      <c r="K292" t="str">
        <f t="shared" si="4"/>
        <v>janeiro</v>
      </c>
      <c r="L292" s="4">
        <v>43489</v>
      </c>
      <c r="M292" s="2">
        <v>0.73402777777777772</v>
      </c>
      <c r="N292" s="1" t="s">
        <v>32</v>
      </c>
      <c r="O292" s="3">
        <v>403</v>
      </c>
      <c r="P292">
        <v>4761904762</v>
      </c>
      <c r="Q292" s="3">
        <v>2015</v>
      </c>
      <c r="R292">
        <v>7</v>
      </c>
      <c r="S292" s="3">
        <f>G292*SuperMarket_Analysis[[#This Row],[Quantity]]</f>
        <v>4030</v>
      </c>
    </row>
    <row r="293" spans="1:19" x14ac:dyDescent="0.25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177</v>
      </c>
      <c r="F293" s="1" t="s">
        <v>28</v>
      </c>
      <c r="G293" s="3">
        <v>2785</v>
      </c>
      <c r="H293">
        <v>7</v>
      </c>
      <c r="I293" s="3">
        <v>97475</v>
      </c>
      <c r="J293">
        <v>2046975</v>
      </c>
      <c r="K293" t="str">
        <f t="shared" si="4"/>
        <v>março</v>
      </c>
      <c r="L293" s="4">
        <v>43538</v>
      </c>
      <c r="M293" s="2">
        <v>0.72222222222222221</v>
      </c>
      <c r="N293" s="1" t="s">
        <v>23</v>
      </c>
      <c r="O293" s="3">
        <v>19495</v>
      </c>
      <c r="P293">
        <v>4761904762</v>
      </c>
      <c r="Q293" s="3">
        <v>97475</v>
      </c>
      <c r="R293">
        <v>6</v>
      </c>
      <c r="S293" s="3">
        <f>G293*SuperMarket_Analysis[[#This Row],[Quantity]]</f>
        <v>19495</v>
      </c>
    </row>
    <row r="294" spans="1:19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3">
        <v>6248</v>
      </c>
      <c r="H294">
        <v>1</v>
      </c>
      <c r="I294" s="3">
        <v>3124</v>
      </c>
      <c r="J294">
        <v>65604</v>
      </c>
      <c r="K294" t="str">
        <f t="shared" si="4"/>
        <v>fevereiro</v>
      </c>
      <c r="L294" s="4">
        <v>43514</v>
      </c>
      <c r="M294" s="2">
        <v>0.85347222222222219</v>
      </c>
      <c r="N294" s="1" t="s">
        <v>29</v>
      </c>
      <c r="O294" s="3">
        <v>6248</v>
      </c>
      <c r="P294">
        <v>4761904762</v>
      </c>
      <c r="Q294" s="3">
        <v>3124</v>
      </c>
      <c r="R294">
        <v>47</v>
      </c>
      <c r="S294" s="3">
        <f>G294*SuperMarket_Analysis[[#This Row],[Quantity]]</f>
        <v>6248</v>
      </c>
    </row>
    <row r="295" spans="1:19" x14ac:dyDescent="0.25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43</v>
      </c>
      <c r="G295" s="3">
        <v>3636</v>
      </c>
      <c r="H295">
        <v>2</v>
      </c>
      <c r="I295" s="3">
        <v>3636</v>
      </c>
      <c r="J295">
        <v>76356</v>
      </c>
      <c r="K295" t="str">
        <f t="shared" si="4"/>
        <v>janeiro</v>
      </c>
      <c r="L295" s="4">
        <v>43486</v>
      </c>
      <c r="M295" s="2">
        <v>0.41666666666666669</v>
      </c>
      <c r="N295" s="1" t="s">
        <v>29</v>
      </c>
      <c r="O295" s="3">
        <v>7272</v>
      </c>
      <c r="P295">
        <v>4761904762</v>
      </c>
      <c r="Q295" s="3">
        <v>3636</v>
      </c>
      <c r="R295">
        <v>71</v>
      </c>
      <c r="S295" s="3">
        <f>G295*SuperMarket_Analysis[[#This Row],[Quantity]]</f>
        <v>7272</v>
      </c>
    </row>
    <row r="296" spans="1:19" x14ac:dyDescent="0.25">
      <c r="A296" s="1" t="s">
        <v>330</v>
      </c>
      <c r="B296" s="1" t="s">
        <v>41</v>
      </c>
      <c r="C296" s="1" t="s">
        <v>42</v>
      </c>
      <c r="D296" s="1" t="s">
        <v>27</v>
      </c>
      <c r="E296" s="1" t="s">
        <v>177</v>
      </c>
      <c r="F296" s="1" t="s">
        <v>22</v>
      </c>
      <c r="G296" s="3">
        <v>1811</v>
      </c>
      <c r="H296">
        <v>10</v>
      </c>
      <c r="I296" s="3">
        <v>9055</v>
      </c>
      <c r="J296">
        <v>190155</v>
      </c>
      <c r="K296" t="str">
        <f t="shared" si="4"/>
        <v>março</v>
      </c>
      <c r="L296" s="4">
        <v>43537</v>
      </c>
      <c r="M296" s="2">
        <v>0.49027777777777776</v>
      </c>
      <c r="N296" s="1" t="s">
        <v>23</v>
      </c>
      <c r="O296" s="3">
        <v>1811</v>
      </c>
      <c r="P296">
        <v>4761904762</v>
      </c>
      <c r="Q296" s="3">
        <v>9055</v>
      </c>
      <c r="R296">
        <v>59</v>
      </c>
      <c r="S296" s="3">
        <f>G296*SuperMarket_Analysis[[#This Row],[Quantity]]</f>
        <v>18110</v>
      </c>
    </row>
    <row r="297" spans="1:19" x14ac:dyDescent="0.25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3">
        <v>5192</v>
      </c>
      <c r="H297">
        <v>5</v>
      </c>
      <c r="I297" s="3">
        <v>1298</v>
      </c>
      <c r="J297">
        <v>27258</v>
      </c>
      <c r="K297" t="str">
        <f t="shared" si="4"/>
        <v>março</v>
      </c>
      <c r="L297" s="4">
        <v>43527</v>
      </c>
      <c r="M297" s="2">
        <v>0.5708333333333333</v>
      </c>
      <c r="N297" s="1" t="s">
        <v>29</v>
      </c>
      <c r="O297" s="3">
        <v>2596</v>
      </c>
      <c r="P297">
        <v>4761904762</v>
      </c>
      <c r="Q297" s="3">
        <v>1298</v>
      </c>
      <c r="R297">
        <v>75</v>
      </c>
      <c r="S297" s="3">
        <f>G297*SuperMarket_Analysis[[#This Row],[Quantity]]</f>
        <v>25960</v>
      </c>
    </row>
    <row r="298" spans="1:19" x14ac:dyDescent="0.25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177</v>
      </c>
      <c r="F298" s="1" t="s">
        <v>28</v>
      </c>
      <c r="G298" s="3">
        <v>2884</v>
      </c>
      <c r="H298">
        <v>4</v>
      </c>
      <c r="I298" s="3">
        <v>5768</v>
      </c>
      <c r="J298">
        <v>121128</v>
      </c>
      <c r="K298" t="str">
        <f t="shared" si="4"/>
        <v>março</v>
      </c>
      <c r="L298" s="4">
        <v>43553</v>
      </c>
      <c r="M298" s="2">
        <v>0.61388888888888893</v>
      </c>
      <c r="N298" s="1" t="s">
        <v>29</v>
      </c>
      <c r="O298" s="3">
        <v>11536</v>
      </c>
      <c r="P298">
        <v>4761904762</v>
      </c>
      <c r="Q298" s="3">
        <v>5768</v>
      </c>
      <c r="R298">
        <v>64</v>
      </c>
      <c r="S298" s="3">
        <f>G298*SuperMarket_Analysis[[#This Row],[Quantity]]</f>
        <v>11536</v>
      </c>
    </row>
    <row r="299" spans="1:19" x14ac:dyDescent="0.25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177</v>
      </c>
      <c r="F299" s="1" t="s">
        <v>31</v>
      </c>
      <c r="G299" s="3">
        <v>7838</v>
      </c>
      <c r="H299">
        <v>6</v>
      </c>
      <c r="I299" s="3">
        <v>23514</v>
      </c>
      <c r="J299">
        <v>493794</v>
      </c>
      <c r="K299" t="str">
        <f t="shared" si="4"/>
        <v>janeiro</v>
      </c>
      <c r="L299" s="4">
        <v>43475</v>
      </c>
      <c r="M299" s="2">
        <v>0.59444444444444444</v>
      </c>
      <c r="N299" s="1" t="s">
        <v>23</v>
      </c>
      <c r="O299" s="3">
        <v>47028</v>
      </c>
      <c r="P299">
        <v>4761904762</v>
      </c>
      <c r="Q299" s="3">
        <v>23514</v>
      </c>
      <c r="R299">
        <v>58</v>
      </c>
      <c r="S299" s="3">
        <f>G299*SuperMarket_Analysis[[#This Row],[Quantity]]</f>
        <v>47028</v>
      </c>
    </row>
    <row r="300" spans="1:19" x14ac:dyDescent="0.25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177</v>
      </c>
      <c r="F300" s="1" t="s">
        <v>31</v>
      </c>
      <c r="G300" s="3">
        <v>6001</v>
      </c>
      <c r="H300">
        <v>4</v>
      </c>
      <c r="I300" s="3">
        <v>12002</v>
      </c>
      <c r="J300">
        <v>252042</v>
      </c>
      <c r="K300" t="str">
        <f t="shared" si="4"/>
        <v>janeiro</v>
      </c>
      <c r="L300" s="4">
        <v>43490</v>
      </c>
      <c r="M300" s="2">
        <v>0.66249999999999998</v>
      </c>
      <c r="N300" s="1" t="s">
        <v>29</v>
      </c>
      <c r="O300" s="3">
        <v>24004</v>
      </c>
      <c r="P300">
        <v>4761904762</v>
      </c>
      <c r="Q300" s="3">
        <v>12002</v>
      </c>
      <c r="R300">
        <v>45</v>
      </c>
      <c r="S300" s="3">
        <f>G300*SuperMarket_Analysis[[#This Row],[Quantity]]</f>
        <v>24004</v>
      </c>
    </row>
    <row r="301" spans="1:19" x14ac:dyDescent="0.25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3">
        <v>8861</v>
      </c>
      <c r="H301">
        <v>1</v>
      </c>
      <c r="I301" s="3">
        <v>44305</v>
      </c>
      <c r="J301">
        <v>930405</v>
      </c>
      <c r="K301" t="str">
        <f t="shared" si="4"/>
        <v>janeiro</v>
      </c>
      <c r="L301" s="4">
        <v>43484</v>
      </c>
      <c r="M301" s="2">
        <v>0.43125000000000002</v>
      </c>
      <c r="N301" s="1" t="s">
        <v>29</v>
      </c>
      <c r="O301" s="3">
        <v>8861</v>
      </c>
      <c r="P301">
        <v>4761904762</v>
      </c>
      <c r="Q301" s="3">
        <v>44305</v>
      </c>
      <c r="R301">
        <v>77</v>
      </c>
      <c r="S301" s="3">
        <f>G301*SuperMarket_Analysis[[#This Row],[Quantity]]</f>
        <v>8861</v>
      </c>
    </row>
    <row r="302" spans="1:19" x14ac:dyDescent="0.25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177</v>
      </c>
      <c r="F302" s="1" t="s">
        <v>45</v>
      </c>
      <c r="G302" s="3">
        <v>9982</v>
      </c>
      <c r="H302">
        <v>2</v>
      </c>
      <c r="I302" s="3">
        <v>9982</v>
      </c>
      <c r="J302">
        <v>209622</v>
      </c>
      <c r="K302" t="str">
        <f t="shared" si="4"/>
        <v>janeiro</v>
      </c>
      <c r="L302" s="4">
        <v>43467</v>
      </c>
      <c r="M302" s="2">
        <v>0.75624999999999998</v>
      </c>
      <c r="N302" s="1" t="s">
        <v>32</v>
      </c>
      <c r="O302" s="3">
        <v>19964</v>
      </c>
      <c r="P302">
        <v>4761904762</v>
      </c>
      <c r="Q302" s="3">
        <v>9982</v>
      </c>
      <c r="R302">
        <v>67</v>
      </c>
      <c r="S302" s="3">
        <f>G302*SuperMarket_Analysis[[#This Row],[Quantity]]</f>
        <v>19964</v>
      </c>
    </row>
    <row r="303" spans="1:19" x14ac:dyDescent="0.25">
      <c r="A303" s="1" t="s">
        <v>337</v>
      </c>
      <c r="B303" s="1" t="s">
        <v>41</v>
      </c>
      <c r="C303" s="1" t="s">
        <v>42</v>
      </c>
      <c r="D303" s="1" t="s">
        <v>20</v>
      </c>
      <c r="E303" s="1" t="s">
        <v>177</v>
      </c>
      <c r="F303" s="1" t="s">
        <v>22</v>
      </c>
      <c r="G303" s="3">
        <v>3901</v>
      </c>
      <c r="H303">
        <v>1</v>
      </c>
      <c r="I303" s="3">
        <v>19505</v>
      </c>
      <c r="J303">
        <v>409605</v>
      </c>
      <c r="K303" t="str">
        <f t="shared" si="4"/>
        <v>março</v>
      </c>
      <c r="L303" s="4">
        <v>43536</v>
      </c>
      <c r="M303" s="2">
        <v>0.69861111111111107</v>
      </c>
      <c r="N303" s="1" t="s">
        <v>32</v>
      </c>
      <c r="O303" s="3">
        <v>3901</v>
      </c>
      <c r="P303">
        <v>4761904762</v>
      </c>
      <c r="Q303" s="3">
        <v>19505</v>
      </c>
      <c r="R303">
        <v>47</v>
      </c>
      <c r="S303" s="3">
        <f>G303*SuperMarket_Analysis[[#This Row],[Quantity]]</f>
        <v>3901</v>
      </c>
    </row>
    <row r="304" spans="1:19" x14ac:dyDescent="0.25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177</v>
      </c>
      <c r="F304" s="1" t="s">
        <v>43</v>
      </c>
      <c r="G304" s="3">
        <v>4861</v>
      </c>
      <c r="H304">
        <v>1</v>
      </c>
      <c r="I304" s="3">
        <v>24305</v>
      </c>
      <c r="J304">
        <v>510405</v>
      </c>
      <c r="K304" t="str">
        <f t="shared" si="4"/>
        <v>fevereiro</v>
      </c>
      <c r="L304" s="4">
        <v>43521</v>
      </c>
      <c r="M304" s="2">
        <v>0.64652777777777781</v>
      </c>
      <c r="N304" s="1" t="s">
        <v>29</v>
      </c>
      <c r="O304" s="3">
        <v>4861</v>
      </c>
      <c r="P304">
        <v>4761904762</v>
      </c>
      <c r="Q304" s="3">
        <v>24305</v>
      </c>
      <c r="R304">
        <v>44</v>
      </c>
      <c r="S304" s="3">
        <f>G304*SuperMarket_Analysis[[#This Row],[Quantity]]</f>
        <v>4861</v>
      </c>
    </row>
    <row r="305" spans="1:19" x14ac:dyDescent="0.25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3">
        <v>5119</v>
      </c>
      <c r="H305">
        <v>4</v>
      </c>
      <c r="I305" s="3">
        <v>10238</v>
      </c>
      <c r="J305">
        <v>214998</v>
      </c>
      <c r="K305" t="str">
        <f t="shared" si="4"/>
        <v>março</v>
      </c>
      <c r="L305" s="4">
        <v>43542</v>
      </c>
      <c r="M305" s="2">
        <v>0.71875</v>
      </c>
      <c r="N305" s="1" t="s">
        <v>32</v>
      </c>
      <c r="O305" s="3">
        <v>20476</v>
      </c>
      <c r="P305">
        <v>4761904762</v>
      </c>
      <c r="Q305" s="3">
        <v>10238</v>
      </c>
      <c r="R305">
        <v>47</v>
      </c>
      <c r="S305" s="3">
        <f>G305*SuperMarket_Analysis[[#This Row],[Quantity]]</f>
        <v>20476</v>
      </c>
    </row>
    <row r="306" spans="1:19" x14ac:dyDescent="0.25">
      <c r="A306" s="1" t="s">
        <v>340</v>
      </c>
      <c r="B306" s="1" t="s">
        <v>41</v>
      </c>
      <c r="C306" s="1" t="s">
        <v>42</v>
      </c>
      <c r="D306" s="1" t="s">
        <v>27</v>
      </c>
      <c r="E306" s="1" t="s">
        <v>21</v>
      </c>
      <c r="F306" s="1" t="s">
        <v>28</v>
      </c>
      <c r="G306" s="3">
        <v>1496</v>
      </c>
      <c r="H306">
        <v>8</v>
      </c>
      <c r="I306" s="3">
        <v>5984</v>
      </c>
      <c r="J306">
        <v>125664</v>
      </c>
      <c r="K306" t="str">
        <f t="shared" si="4"/>
        <v>fevereiro</v>
      </c>
      <c r="L306" s="4">
        <v>43519</v>
      </c>
      <c r="M306" s="2">
        <v>0.52013888888888893</v>
      </c>
      <c r="N306" s="1" t="s">
        <v>29</v>
      </c>
      <c r="O306" s="3">
        <v>11968</v>
      </c>
      <c r="P306">
        <v>4761904762</v>
      </c>
      <c r="Q306" s="3">
        <v>5984</v>
      </c>
      <c r="R306">
        <v>86</v>
      </c>
      <c r="S306" s="3">
        <f>G306*SuperMarket_Analysis[[#This Row],[Quantity]]</f>
        <v>11968</v>
      </c>
    </row>
    <row r="307" spans="1:19" x14ac:dyDescent="0.25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177</v>
      </c>
      <c r="F307" s="1" t="s">
        <v>28</v>
      </c>
      <c r="G307" s="3">
        <v>722</v>
      </c>
      <c r="H307">
        <v>7</v>
      </c>
      <c r="I307" s="3">
        <v>2527</v>
      </c>
      <c r="J307">
        <v>53067</v>
      </c>
      <c r="K307" t="str">
        <f t="shared" si="4"/>
        <v>março</v>
      </c>
      <c r="L307" s="4">
        <v>43550</v>
      </c>
      <c r="M307" s="2">
        <v>0.84305555555555556</v>
      </c>
      <c r="N307" s="1" t="s">
        <v>23</v>
      </c>
      <c r="O307" s="3">
        <v>5054</v>
      </c>
      <c r="P307">
        <v>4761904762</v>
      </c>
      <c r="Q307" s="3">
        <v>2527</v>
      </c>
      <c r="R307">
        <v>43</v>
      </c>
      <c r="S307" s="3">
        <f>G307*SuperMarket_Analysis[[#This Row],[Quantity]]</f>
        <v>5054</v>
      </c>
    </row>
    <row r="308" spans="1:19" x14ac:dyDescent="0.25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35</v>
      </c>
      <c r="G308" s="3">
        <v>4023</v>
      </c>
      <c r="H308">
        <v>7</v>
      </c>
      <c r="I308" s="3">
        <v>140805</v>
      </c>
      <c r="J308">
        <v>2956905</v>
      </c>
      <c r="K308" t="str">
        <f t="shared" si="4"/>
        <v>março</v>
      </c>
      <c r="L308" s="4">
        <v>43554</v>
      </c>
      <c r="M308" s="2">
        <v>0.55694444444444446</v>
      </c>
      <c r="N308" s="1" t="s">
        <v>29</v>
      </c>
      <c r="O308" s="3">
        <v>28161</v>
      </c>
      <c r="P308">
        <v>4761904762</v>
      </c>
      <c r="Q308" s="3">
        <v>140805</v>
      </c>
      <c r="R308">
        <v>96</v>
      </c>
      <c r="S308" s="3">
        <f>G308*SuperMarket_Analysis[[#This Row],[Quantity]]</f>
        <v>28161</v>
      </c>
    </row>
    <row r="309" spans="1:19" x14ac:dyDescent="0.25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3">
        <v>8879</v>
      </c>
      <c r="H309">
        <v>8</v>
      </c>
      <c r="I309" s="3">
        <v>35516</v>
      </c>
      <c r="J309">
        <v>745836</v>
      </c>
      <c r="K309" t="str">
        <f t="shared" si="4"/>
        <v>fevereiro</v>
      </c>
      <c r="L309" s="4">
        <v>43513</v>
      </c>
      <c r="M309" s="2">
        <v>0.71458333333333335</v>
      </c>
      <c r="N309" s="1" t="s">
        <v>29</v>
      </c>
      <c r="O309" s="3">
        <v>71032</v>
      </c>
      <c r="P309">
        <v>4761904762</v>
      </c>
      <c r="Q309" s="3">
        <v>35516</v>
      </c>
      <c r="R309">
        <v>41</v>
      </c>
      <c r="S309" s="3">
        <f>G309*SuperMarket_Analysis[[#This Row],[Quantity]]</f>
        <v>71032</v>
      </c>
    </row>
    <row r="310" spans="1:19" x14ac:dyDescent="0.25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3">
        <v>2648</v>
      </c>
      <c r="H310">
        <v>3</v>
      </c>
      <c r="I310" s="3">
        <v>3972</v>
      </c>
      <c r="J310">
        <v>83412</v>
      </c>
      <c r="K310" t="str">
        <f t="shared" si="4"/>
        <v>março</v>
      </c>
      <c r="L310" s="4">
        <v>43545</v>
      </c>
      <c r="M310" s="2">
        <v>0.44444444444444442</v>
      </c>
      <c r="N310" s="1" t="s">
        <v>23</v>
      </c>
      <c r="O310" s="3">
        <v>7944</v>
      </c>
      <c r="P310">
        <v>4761904762</v>
      </c>
      <c r="Q310" s="3">
        <v>3972</v>
      </c>
      <c r="R310">
        <v>47</v>
      </c>
      <c r="S310" s="3">
        <f>G310*SuperMarket_Analysis[[#This Row],[Quantity]]</f>
        <v>7944</v>
      </c>
    </row>
    <row r="311" spans="1:19" x14ac:dyDescent="0.25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45</v>
      </c>
      <c r="G311" s="3">
        <v>8191</v>
      </c>
      <c r="H311">
        <v>2</v>
      </c>
      <c r="I311" s="3">
        <v>8191</v>
      </c>
      <c r="J311">
        <v>172011</v>
      </c>
      <c r="K311" t="str">
        <f t="shared" si="4"/>
        <v>março</v>
      </c>
      <c r="L311" s="4">
        <v>43529</v>
      </c>
      <c r="M311" s="2">
        <v>0.73819444444444449</v>
      </c>
      <c r="N311" s="1" t="s">
        <v>29</v>
      </c>
      <c r="O311" s="3">
        <v>16382</v>
      </c>
      <c r="P311">
        <v>4761904762</v>
      </c>
      <c r="Q311" s="3">
        <v>8191</v>
      </c>
      <c r="R311">
        <v>78</v>
      </c>
      <c r="S311" s="3">
        <f>G311*SuperMarket_Analysis[[#This Row],[Quantity]]</f>
        <v>16382</v>
      </c>
    </row>
    <row r="312" spans="1:19" x14ac:dyDescent="0.25">
      <c r="A312" s="1" t="s">
        <v>346</v>
      </c>
      <c r="B312" s="1" t="s">
        <v>41</v>
      </c>
      <c r="C312" s="1" t="s">
        <v>42</v>
      </c>
      <c r="D312" s="1" t="s">
        <v>20</v>
      </c>
      <c r="E312" s="1" t="s">
        <v>177</v>
      </c>
      <c r="F312" s="1" t="s">
        <v>35</v>
      </c>
      <c r="G312" s="3">
        <v>7993</v>
      </c>
      <c r="H312">
        <v>6</v>
      </c>
      <c r="I312" s="3">
        <v>23979</v>
      </c>
      <c r="J312">
        <v>503559</v>
      </c>
      <c r="K312" t="str">
        <f t="shared" si="4"/>
        <v>janeiro</v>
      </c>
      <c r="L312" s="4">
        <v>43496</v>
      </c>
      <c r="M312" s="2">
        <v>0.58611111111111114</v>
      </c>
      <c r="N312" s="1" t="s">
        <v>29</v>
      </c>
      <c r="O312" s="3">
        <v>47958</v>
      </c>
      <c r="P312">
        <v>4761904762</v>
      </c>
      <c r="Q312" s="3">
        <v>23979</v>
      </c>
      <c r="R312">
        <v>55</v>
      </c>
      <c r="S312" s="3">
        <f>G312*SuperMarket_Analysis[[#This Row],[Quantity]]</f>
        <v>47958</v>
      </c>
    </row>
    <row r="313" spans="1:19" x14ac:dyDescent="0.25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177</v>
      </c>
      <c r="F313" s="1" t="s">
        <v>45</v>
      </c>
      <c r="G313" s="3">
        <v>6933</v>
      </c>
      <c r="H313">
        <v>2</v>
      </c>
      <c r="I313" s="3">
        <v>6933</v>
      </c>
      <c r="J313">
        <v>145593</v>
      </c>
      <c r="K313" t="str">
        <f t="shared" si="4"/>
        <v>fevereiro</v>
      </c>
      <c r="L313" s="4">
        <v>43501</v>
      </c>
      <c r="M313" s="2">
        <v>0.79513888888888884</v>
      </c>
      <c r="N313" s="1" t="s">
        <v>23</v>
      </c>
      <c r="O313" s="3">
        <v>13866</v>
      </c>
      <c r="P313">
        <v>4761904762</v>
      </c>
      <c r="Q313" s="3">
        <v>6933</v>
      </c>
      <c r="R313">
        <v>97</v>
      </c>
      <c r="S313" s="3">
        <f>G313*SuperMarket_Analysis[[#This Row],[Quantity]]</f>
        <v>13866</v>
      </c>
    </row>
    <row r="314" spans="1:19" x14ac:dyDescent="0.25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43</v>
      </c>
      <c r="G314" s="3">
        <v>1423</v>
      </c>
      <c r="H314">
        <v>5</v>
      </c>
      <c r="I314" s="3">
        <v>35575</v>
      </c>
      <c r="J314">
        <v>747075</v>
      </c>
      <c r="K314" t="str">
        <f t="shared" si="4"/>
        <v>fevereiro</v>
      </c>
      <c r="L314" s="4">
        <v>43497</v>
      </c>
      <c r="M314" s="2">
        <v>0.42222222222222222</v>
      </c>
      <c r="N314" s="1" t="s">
        <v>32</v>
      </c>
      <c r="O314" s="3">
        <v>7115</v>
      </c>
      <c r="P314">
        <v>4761904762</v>
      </c>
      <c r="Q314" s="3">
        <v>35575</v>
      </c>
      <c r="R314">
        <v>44</v>
      </c>
      <c r="S314" s="3">
        <f>G314*SuperMarket_Analysis[[#This Row],[Quantity]]</f>
        <v>7115</v>
      </c>
    </row>
    <row r="315" spans="1:19" x14ac:dyDescent="0.25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3">
        <v>1555</v>
      </c>
      <c r="H315">
        <v>9</v>
      </c>
      <c r="I315" s="3">
        <v>69975</v>
      </c>
      <c r="J315">
        <v>1469475</v>
      </c>
      <c r="K315" t="str">
        <f t="shared" si="4"/>
        <v>março</v>
      </c>
      <c r="L315" s="4">
        <v>43531</v>
      </c>
      <c r="M315" s="2">
        <v>0.55000000000000004</v>
      </c>
      <c r="N315" s="1" t="s">
        <v>29</v>
      </c>
      <c r="O315" s="3">
        <v>13995</v>
      </c>
      <c r="P315">
        <v>4761904762</v>
      </c>
      <c r="Q315" s="3">
        <v>69975</v>
      </c>
      <c r="R315">
        <v>5</v>
      </c>
      <c r="S315" s="3">
        <f>G315*SuperMarket_Analysis[[#This Row],[Quantity]]</f>
        <v>13995</v>
      </c>
    </row>
    <row r="316" spans="1:19" x14ac:dyDescent="0.25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3">
        <v>7813</v>
      </c>
      <c r="H316">
        <v>10</v>
      </c>
      <c r="I316" s="3">
        <v>39065</v>
      </c>
      <c r="J316">
        <v>820365</v>
      </c>
      <c r="K316" t="str">
        <f t="shared" si="4"/>
        <v>fevereiro</v>
      </c>
      <c r="L316" s="4">
        <v>43506</v>
      </c>
      <c r="M316" s="2">
        <v>0.86875000000000002</v>
      </c>
      <c r="N316" s="1" t="s">
        <v>29</v>
      </c>
      <c r="O316" s="3">
        <v>7813</v>
      </c>
      <c r="P316">
        <v>4761904762</v>
      </c>
      <c r="Q316" s="3">
        <v>39065</v>
      </c>
      <c r="R316">
        <v>44</v>
      </c>
      <c r="S316" s="3">
        <f>G316*SuperMarket_Analysis[[#This Row],[Quantity]]</f>
        <v>78130</v>
      </c>
    </row>
    <row r="317" spans="1:19" x14ac:dyDescent="0.25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177</v>
      </c>
      <c r="F317" s="1" t="s">
        <v>43</v>
      </c>
      <c r="G317" s="3">
        <v>9937</v>
      </c>
      <c r="H317">
        <v>2</v>
      </c>
      <c r="I317" s="3">
        <v>9937</v>
      </c>
      <c r="J317">
        <v>208677</v>
      </c>
      <c r="K317" t="str">
        <f t="shared" si="4"/>
        <v>fevereiro</v>
      </c>
      <c r="L317" s="4">
        <v>43510</v>
      </c>
      <c r="M317" s="2">
        <v>0.72847222222222219</v>
      </c>
      <c r="N317" s="1" t="s">
        <v>29</v>
      </c>
      <c r="O317" s="3">
        <v>19874</v>
      </c>
      <c r="P317">
        <v>4761904762</v>
      </c>
      <c r="Q317" s="3">
        <v>9937</v>
      </c>
      <c r="R317">
        <v>52</v>
      </c>
      <c r="S317" s="3">
        <f>G317*SuperMarket_Analysis[[#This Row],[Quantity]]</f>
        <v>19874</v>
      </c>
    </row>
    <row r="318" spans="1:19" x14ac:dyDescent="0.25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43</v>
      </c>
      <c r="G318" s="3">
        <v>2108</v>
      </c>
      <c r="H318">
        <v>3</v>
      </c>
      <c r="I318" s="3">
        <v>3162</v>
      </c>
      <c r="J318">
        <v>66402</v>
      </c>
      <c r="K318" t="str">
        <f t="shared" si="4"/>
        <v>fevereiro</v>
      </c>
      <c r="L318" s="4">
        <v>43505</v>
      </c>
      <c r="M318" s="2">
        <v>0.43402777777777779</v>
      </c>
      <c r="N318" s="1" t="s">
        <v>29</v>
      </c>
      <c r="O318" s="3">
        <v>6324</v>
      </c>
      <c r="P318">
        <v>4761904762</v>
      </c>
      <c r="Q318" s="3">
        <v>3162</v>
      </c>
      <c r="R318">
        <v>73</v>
      </c>
      <c r="S318" s="3">
        <f>G318*SuperMarket_Analysis[[#This Row],[Quantity]]</f>
        <v>6324</v>
      </c>
    </row>
    <row r="319" spans="1:19" x14ac:dyDescent="0.25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177</v>
      </c>
      <c r="F319" s="1" t="s">
        <v>28</v>
      </c>
      <c r="G319" s="3">
        <v>7479</v>
      </c>
      <c r="H319">
        <v>5</v>
      </c>
      <c r="I319" s="3">
        <v>186975</v>
      </c>
      <c r="J319">
        <v>3926475</v>
      </c>
      <c r="K319" t="str">
        <f t="shared" si="4"/>
        <v>janeiro</v>
      </c>
      <c r="L319" s="4">
        <v>43475</v>
      </c>
      <c r="M319" s="2">
        <v>0.48194444444444445</v>
      </c>
      <c r="N319" s="1" t="s">
        <v>29</v>
      </c>
      <c r="O319" s="3">
        <v>37395</v>
      </c>
      <c r="P319">
        <v>4761904762</v>
      </c>
      <c r="Q319" s="3">
        <v>186975</v>
      </c>
      <c r="R319">
        <v>49</v>
      </c>
      <c r="S319" s="3">
        <f>G319*SuperMarket_Analysis[[#This Row],[Quantity]]</f>
        <v>37395</v>
      </c>
    </row>
    <row r="320" spans="1:19" x14ac:dyDescent="0.25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3">
        <v>2967</v>
      </c>
      <c r="H320">
        <v>7</v>
      </c>
      <c r="I320" s="3">
        <v>103845</v>
      </c>
      <c r="J320">
        <v>2180745</v>
      </c>
      <c r="K320" t="str">
        <f t="shared" si="4"/>
        <v>março</v>
      </c>
      <c r="L320" s="4">
        <v>43535</v>
      </c>
      <c r="M320" s="2">
        <v>0.79027777777777775</v>
      </c>
      <c r="N320" s="1" t="s">
        <v>32</v>
      </c>
      <c r="O320" s="3">
        <v>20769</v>
      </c>
      <c r="P320">
        <v>4761904762</v>
      </c>
      <c r="Q320" s="3">
        <v>103845</v>
      </c>
      <c r="R320">
        <v>81</v>
      </c>
      <c r="S320" s="3">
        <f>G320*SuperMarket_Analysis[[#This Row],[Quantity]]</f>
        <v>20769</v>
      </c>
    </row>
    <row r="321" spans="1:19" x14ac:dyDescent="0.25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177</v>
      </c>
      <c r="F321" s="1" t="s">
        <v>22</v>
      </c>
      <c r="G321" s="3">
        <v>4407</v>
      </c>
      <c r="H321">
        <v>4</v>
      </c>
      <c r="I321" s="3">
        <v>8814</v>
      </c>
      <c r="J321">
        <v>185094</v>
      </c>
      <c r="K321" t="str">
        <f t="shared" si="4"/>
        <v>fevereiro</v>
      </c>
      <c r="L321" s="4">
        <v>43514</v>
      </c>
      <c r="M321" s="2">
        <v>0.68611111111111112</v>
      </c>
      <c r="N321" s="1" t="s">
        <v>23</v>
      </c>
      <c r="O321" s="3">
        <v>17628</v>
      </c>
      <c r="P321">
        <v>4761904762</v>
      </c>
      <c r="Q321" s="3">
        <v>8814</v>
      </c>
      <c r="R321">
        <v>84</v>
      </c>
      <c r="S321" s="3">
        <f>G321*SuperMarket_Analysis[[#This Row],[Quantity]]</f>
        <v>17628</v>
      </c>
    </row>
    <row r="322" spans="1:19" x14ac:dyDescent="0.25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43</v>
      </c>
      <c r="G322" s="3">
        <v>2293</v>
      </c>
      <c r="H322">
        <v>9</v>
      </c>
      <c r="I322" s="3">
        <v>103185</v>
      </c>
      <c r="J322">
        <v>2166885</v>
      </c>
      <c r="K322" t="str">
        <f t="shared" ref="K322:K385" si="5">TEXT(L322, "mmmm")</f>
        <v>fevereiro</v>
      </c>
      <c r="L322" s="4">
        <v>43522</v>
      </c>
      <c r="M322" s="2">
        <v>0.85138888888888886</v>
      </c>
      <c r="N322" s="1" t="s">
        <v>29</v>
      </c>
      <c r="O322" s="3">
        <v>20637</v>
      </c>
      <c r="P322">
        <v>4761904762</v>
      </c>
      <c r="Q322" s="3">
        <v>103185</v>
      </c>
      <c r="R322">
        <v>55</v>
      </c>
      <c r="S322" s="3">
        <f>G322*SuperMarket_Analysis[[#This Row],[Quantity]]</f>
        <v>20637</v>
      </c>
    </row>
    <row r="323" spans="1:19" x14ac:dyDescent="0.25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3">
        <v>3942</v>
      </c>
      <c r="H323">
        <v>1</v>
      </c>
      <c r="I323" s="3">
        <v>1971</v>
      </c>
      <c r="J323">
        <v>41391</v>
      </c>
      <c r="K323" t="str">
        <f t="shared" si="5"/>
        <v>janeiro</v>
      </c>
      <c r="L323" s="4">
        <v>43483</v>
      </c>
      <c r="M323" s="2">
        <v>0.63055555555555554</v>
      </c>
      <c r="N323" s="1" t="s">
        <v>29</v>
      </c>
      <c r="O323" s="3">
        <v>3942</v>
      </c>
      <c r="P323">
        <v>4761904762</v>
      </c>
      <c r="Q323" s="3">
        <v>1971</v>
      </c>
      <c r="R323">
        <v>84</v>
      </c>
      <c r="S323" s="3">
        <f>G323*SuperMarket_Analysis[[#This Row],[Quantity]]</f>
        <v>3942</v>
      </c>
    </row>
    <row r="324" spans="1:19" x14ac:dyDescent="0.25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177</v>
      </c>
      <c r="F324" s="1" t="s">
        <v>22</v>
      </c>
      <c r="G324" s="3">
        <v>1526</v>
      </c>
      <c r="H324">
        <v>6</v>
      </c>
      <c r="I324" s="3">
        <v>4578</v>
      </c>
      <c r="J324">
        <v>96138</v>
      </c>
      <c r="K324" t="str">
        <f t="shared" si="5"/>
        <v>fevereiro</v>
      </c>
      <c r="L324" s="4">
        <v>43511</v>
      </c>
      <c r="M324" s="2">
        <v>0.75208333333333333</v>
      </c>
      <c r="N324" s="1" t="s">
        <v>23</v>
      </c>
      <c r="O324" s="3">
        <v>9156</v>
      </c>
      <c r="P324">
        <v>4761904762</v>
      </c>
      <c r="Q324" s="3">
        <v>4578</v>
      </c>
      <c r="R324">
        <v>98</v>
      </c>
      <c r="S324" s="3">
        <f>G324*SuperMarket_Analysis[[#This Row],[Quantity]]</f>
        <v>9156</v>
      </c>
    </row>
    <row r="325" spans="1:19" x14ac:dyDescent="0.25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45</v>
      </c>
      <c r="G325" s="3">
        <v>6177</v>
      </c>
      <c r="H325">
        <v>5</v>
      </c>
      <c r="I325" s="3">
        <v>154425</v>
      </c>
      <c r="J325">
        <v>3242925</v>
      </c>
      <c r="K325" t="str">
        <f t="shared" si="5"/>
        <v>março</v>
      </c>
      <c r="L325" s="4">
        <v>43532</v>
      </c>
      <c r="M325" s="2">
        <v>0.55625000000000002</v>
      </c>
      <c r="N325" s="1" t="s">
        <v>29</v>
      </c>
      <c r="O325" s="3">
        <v>30885</v>
      </c>
      <c r="P325">
        <v>4761904762</v>
      </c>
      <c r="Q325" s="3">
        <v>154425</v>
      </c>
      <c r="R325">
        <v>67</v>
      </c>
      <c r="S325" s="3">
        <f>G325*SuperMarket_Analysis[[#This Row],[Quantity]]</f>
        <v>30885</v>
      </c>
    </row>
    <row r="326" spans="1:19" x14ac:dyDescent="0.25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177</v>
      </c>
      <c r="F326" s="1" t="s">
        <v>31</v>
      </c>
      <c r="G326" s="3">
        <v>2152</v>
      </c>
      <c r="H326">
        <v>6</v>
      </c>
      <c r="I326" s="3">
        <v>6456</v>
      </c>
      <c r="J326">
        <v>135576</v>
      </c>
      <c r="K326" t="str">
        <f t="shared" si="5"/>
        <v>janeiro</v>
      </c>
      <c r="L326" s="4">
        <v>43482</v>
      </c>
      <c r="M326" s="2">
        <v>0.53333333333333333</v>
      </c>
      <c r="N326" s="1" t="s">
        <v>32</v>
      </c>
      <c r="O326" s="3">
        <v>12912</v>
      </c>
      <c r="P326">
        <v>4761904762</v>
      </c>
      <c r="Q326" s="3">
        <v>6456</v>
      </c>
      <c r="R326">
        <v>94</v>
      </c>
      <c r="S326" s="3">
        <f>G326*SuperMarket_Analysis[[#This Row],[Quantity]]</f>
        <v>12912</v>
      </c>
    </row>
    <row r="327" spans="1:19" x14ac:dyDescent="0.25">
      <c r="A327" s="1" t="s">
        <v>361</v>
      </c>
      <c r="B327" s="1" t="s">
        <v>41</v>
      </c>
      <c r="C327" s="1" t="s">
        <v>42</v>
      </c>
      <c r="D327" s="1" t="s">
        <v>27</v>
      </c>
      <c r="E327" s="1" t="s">
        <v>177</v>
      </c>
      <c r="F327" s="1" t="s">
        <v>35</v>
      </c>
      <c r="G327" s="3">
        <v>9774</v>
      </c>
      <c r="H327">
        <v>4</v>
      </c>
      <c r="I327" s="3">
        <v>19548</v>
      </c>
      <c r="J327">
        <v>410508</v>
      </c>
      <c r="K327" t="str">
        <f t="shared" si="5"/>
        <v>março</v>
      </c>
      <c r="L327" s="4">
        <v>43536</v>
      </c>
      <c r="M327" s="2">
        <v>0.82847222222222228</v>
      </c>
      <c r="N327" s="1" t="s">
        <v>23</v>
      </c>
      <c r="O327" s="3">
        <v>39096</v>
      </c>
      <c r="P327">
        <v>4761904762</v>
      </c>
      <c r="Q327" s="3">
        <v>19548</v>
      </c>
      <c r="R327">
        <v>64</v>
      </c>
      <c r="S327" s="3">
        <f>G327*SuperMarket_Analysis[[#This Row],[Quantity]]</f>
        <v>39096</v>
      </c>
    </row>
    <row r="328" spans="1:19" x14ac:dyDescent="0.25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177</v>
      </c>
      <c r="F328" s="1" t="s">
        <v>43</v>
      </c>
      <c r="G328" s="3">
        <v>9978</v>
      </c>
      <c r="H328">
        <v>5</v>
      </c>
      <c r="I328" s="3">
        <v>24945</v>
      </c>
      <c r="J328">
        <v>523845</v>
      </c>
      <c r="K328" t="str">
        <f t="shared" si="5"/>
        <v>março</v>
      </c>
      <c r="L328" s="4">
        <v>43533</v>
      </c>
      <c r="M328" s="2">
        <v>0.79791666666666672</v>
      </c>
      <c r="N328" s="1" t="s">
        <v>29</v>
      </c>
      <c r="O328" s="3">
        <v>4989</v>
      </c>
      <c r="P328">
        <v>4761904762</v>
      </c>
      <c r="Q328" s="3">
        <v>24945</v>
      </c>
      <c r="R328">
        <v>54</v>
      </c>
      <c r="S328" s="3">
        <f>G328*SuperMarket_Analysis[[#This Row],[Quantity]]</f>
        <v>49890</v>
      </c>
    </row>
    <row r="329" spans="1:19" x14ac:dyDescent="0.25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177</v>
      </c>
      <c r="F329" s="1" t="s">
        <v>43</v>
      </c>
      <c r="G329" s="3">
        <v>9426</v>
      </c>
      <c r="H329">
        <v>4</v>
      </c>
      <c r="I329" s="3">
        <v>18852</v>
      </c>
      <c r="J329">
        <v>395892</v>
      </c>
      <c r="K329" t="str">
        <f t="shared" si="5"/>
        <v>março</v>
      </c>
      <c r="L329" s="4">
        <v>43536</v>
      </c>
      <c r="M329" s="2">
        <v>0.6875</v>
      </c>
      <c r="N329" s="1" t="s">
        <v>29</v>
      </c>
      <c r="O329" s="3">
        <v>37704</v>
      </c>
      <c r="P329">
        <v>4761904762</v>
      </c>
      <c r="Q329" s="3">
        <v>18852</v>
      </c>
      <c r="R329">
        <v>86</v>
      </c>
      <c r="S329" s="3">
        <f>G329*SuperMarket_Analysis[[#This Row],[Quantity]]</f>
        <v>37704</v>
      </c>
    </row>
    <row r="330" spans="1:19" x14ac:dyDescent="0.25">
      <c r="A330" s="1" t="s">
        <v>364</v>
      </c>
      <c r="B330" s="1" t="s">
        <v>41</v>
      </c>
      <c r="C330" s="1" t="s">
        <v>42</v>
      </c>
      <c r="D330" s="1" t="s">
        <v>20</v>
      </c>
      <c r="E330" s="1" t="s">
        <v>177</v>
      </c>
      <c r="F330" s="1" t="s">
        <v>22</v>
      </c>
      <c r="G330" s="3">
        <v>5113</v>
      </c>
      <c r="H330">
        <v>4</v>
      </c>
      <c r="I330" s="3">
        <v>10226</v>
      </c>
      <c r="J330">
        <v>214746</v>
      </c>
      <c r="K330" t="str">
        <f t="shared" si="5"/>
        <v>janeiro</v>
      </c>
      <c r="L330" s="4">
        <v>43490</v>
      </c>
      <c r="M330" s="2">
        <v>0.42430555555555555</v>
      </c>
      <c r="N330" s="1" t="s">
        <v>32</v>
      </c>
      <c r="O330" s="3">
        <v>20452</v>
      </c>
      <c r="P330">
        <v>4761904762</v>
      </c>
      <c r="Q330" s="3">
        <v>10226</v>
      </c>
      <c r="R330">
        <v>4</v>
      </c>
      <c r="S330" s="3">
        <f>G330*SuperMarket_Analysis[[#This Row],[Quantity]]</f>
        <v>20452</v>
      </c>
    </row>
    <row r="331" spans="1:19" x14ac:dyDescent="0.25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177</v>
      </c>
      <c r="F331" s="1" t="s">
        <v>28</v>
      </c>
      <c r="G331" s="3">
        <v>3636</v>
      </c>
      <c r="H331">
        <v>4</v>
      </c>
      <c r="I331" s="3">
        <v>7272</v>
      </c>
      <c r="J331">
        <v>152712</v>
      </c>
      <c r="K331" t="str">
        <f t="shared" si="5"/>
        <v>março</v>
      </c>
      <c r="L331" s="4">
        <v>43549</v>
      </c>
      <c r="M331" s="2">
        <v>0.54652777777777772</v>
      </c>
      <c r="N331" s="1" t="s">
        <v>29</v>
      </c>
      <c r="O331" s="3">
        <v>14544</v>
      </c>
      <c r="P331">
        <v>4761904762</v>
      </c>
      <c r="Q331" s="3">
        <v>7272</v>
      </c>
      <c r="R331">
        <v>76</v>
      </c>
      <c r="S331" s="3">
        <f>G331*SuperMarket_Analysis[[#This Row],[Quantity]]</f>
        <v>14544</v>
      </c>
    </row>
    <row r="332" spans="1:19" x14ac:dyDescent="0.25">
      <c r="A332" s="1" t="s">
        <v>366</v>
      </c>
      <c r="B332" s="1" t="s">
        <v>41</v>
      </c>
      <c r="C332" s="1" t="s">
        <v>42</v>
      </c>
      <c r="D332" s="1" t="s">
        <v>27</v>
      </c>
      <c r="E332" s="1" t="s">
        <v>177</v>
      </c>
      <c r="F332" s="1" t="s">
        <v>31</v>
      </c>
      <c r="G332" s="3">
        <v>2202</v>
      </c>
      <c r="H332">
        <v>9</v>
      </c>
      <c r="I332" s="3">
        <v>9909</v>
      </c>
      <c r="J332">
        <v>208089</v>
      </c>
      <c r="K332" t="str">
        <f t="shared" si="5"/>
        <v>fevereiro</v>
      </c>
      <c r="L332" s="4">
        <v>43503</v>
      </c>
      <c r="M332" s="2">
        <v>0.78333333333333333</v>
      </c>
      <c r="N332" s="1" t="s">
        <v>29</v>
      </c>
      <c r="O332" s="3">
        <v>19818</v>
      </c>
      <c r="P332">
        <v>4761904762</v>
      </c>
      <c r="Q332" s="3">
        <v>9909</v>
      </c>
      <c r="R332">
        <v>68</v>
      </c>
      <c r="S332" s="3">
        <f>G332*SuperMarket_Analysis[[#This Row],[Quantity]]</f>
        <v>19818</v>
      </c>
    </row>
    <row r="333" spans="1:19" x14ac:dyDescent="0.25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177</v>
      </c>
      <c r="F333" s="1" t="s">
        <v>43</v>
      </c>
      <c r="G333" s="3">
        <v>329</v>
      </c>
      <c r="H333">
        <v>3</v>
      </c>
      <c r="I333" s="3">
        <v>4935</v>
      </c>
      <c r="J333">
        <v>103635</v>
      </c>
      <c r="K333" t="str">
        <f t="shared" si="5"/>
        <v>fevereiro</v>
      </c>
      <c r="L333" s="4">
        <v>43513</v>
      </c>
      <c r="M333" s="2">
        <v>0.7270833333333333</v>
      </c>
      <c r="N333" s="1" t="s">
        <v>32</v>
      </c>
      <c r="O333" s="3">
        <v>987</v>
      </c>
      <c r="P333">
        <v>4761904762</v>
      </c>
      <c r="Q333" s="3">
        <v>4935</v>
      </c>
      <c r="R333">
        <v>91</v>
      </c>
      <c r="S333" s="3">
        <f>G333*SuperMarket_Analysis[[#This Row],[Quantity]]</f>
        <v>987</v>
      </c>
    </row>
    <row r="334" spans="1:19" x14ac:dyDescent="0.25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177</v>
      </c>
      <c r="F334" s="1" t="s">
        <v>45</v>
      </c>
      <c r="G334" s="3">
        <v>7702</v>
      </c>
      <c r="H334">
        <v>5</v>
      </c>
      <c r="I334" s="3">
        <v>19255</v>
      </c>
      <c r="J334">
        <v>404355</v>
      </c>
      <c r="K334" t="str">
        <f t="shared" si="5"/>
        <v>fevereiro</v>
      </c>
      <c r="L334" s="4">
        <v>43499</v>
      </c>
      <c r="M334" s="2">
        <v>0.66597222222222219</v>
      </c>
      <c r="N334" s="1" t="s">
        <v>29</v>
      </c>
      <c r="O334" s="3">
        <v>3851</v>
      </c>
      <c r="P334">
        <v>4761904762</v>
      </c>
      <c r="Q334" s="3">
        <v>19255</v>
      </c>
      <c r="R334">
        <v>55</v>
      </c>
      <c r="S334" s="3">
        <f>G334*SuperMarket_Analysis[[#This Row],[Quantity]]</f>
        <v>38510</v>
      </c>
    </row>
    <row r="335" spans="1:19" x14ac:dyDescent="0.25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177</v>
      </c>
      <c r="F335" s="1" t="s">
        <v>43</v>
      </c>
      <c r="G335" s="3">
        <v>2348</v>
      </c>
      <c r="H335">
        <v>2</v>
      </c>
      <c r="I335" s="3">
        <v>2348</v>
      </c>
      <c r="J335">
        <v>49308</v>
      </c>
      <c r="K335" t="str">
        <f t="shared" si="5"/>
        <v>março</v>
      </c>
      <c r="L335" s="4">
        <v>43538</v>
      </c>
      <c r="M335" s="2">
        <v>0.47291666666666665</v>
      </c>
      <c r="N335" s="1" t="s">
        <v>32</v>
      </c>
      <c r="O335" s="3">
        <v>4696</v>
      </c>
      <c r="P335">
        <v>4761904762</v>
      </c>
      <c r="Q335" s="3">
        <v>2348</v>
      </c>
      <c r="R335">
        <v>79</v>
      </c>
      <c r="S335" s="3">
        <f>G335*SuperMarket_Analysis[[#This Row],[Quantity]]</f>
        <v>4696</v>
      </c>
    </row>
    <row r="336" spans="1:19" x14ac:dyDescent="0.25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177</v>
      </c>
      <c r="F336" s="1" t="s">
        <v>35</v>
      </c>
      <c r="G336" s="3">
        <v>147</v>
      </c>
      <c r="H336">
        <v>5</v>
      </c>
      <c r="I336" s="3">
        <v>3675</v>
      </c>
      <c r="J336">
        <v>77175</v>
      </c>
      <c r="K336" t="str">
        <f t="shared" si="5"/>
        <v>março</v>
      </c>
      <c r="L336" s="4">
        <v>43548</v>
      </c>
      <c r="M336" s="2">
        <v>0.57499999999999996</v>
      </c>
      <c r="N336" s="1" t="s">
        <v>23</v>
      </c>
      <c r="O336" s="3">
        <v>735</v>
      </c>
      <c r="P336">
        <v>4761904762</v>
      </c>
      <c r="Q336" s="3">
        <v>3675</v>
      </c>
      <c r="R336">
        <v>85</v>
      </c>
      <c r="S336" s="3">
        <f>G336*SuperMarket_Analysis[[#This Row],[Quantity]]</f>
        <v>735</v>
      </c>
    </row>
    <row r="337" spans="1:19" x14ac:dyDescent="0.25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3">
        <v>2845</v>
      </c>
      <c r="H337">
        <v>5</v>
      </c>
      <c r="I337" s="3">
        <v>71125</v>
      </c>
      <c r="J337">
        <v>1493625</v>
      </c>
      <c r="K337" t="str">
        <f t="shared" si="5"/>
        <v>março</v>
      </c>
      <c r="L337" s="4">
        <v>43545</v>
      </c>
      <c r="M337" s="2">
        <v>0.4284722222222222</v>
      </c>
      <c r="N337" s="1" t="s">
        <v>32</v>
      </c>
      <c r="O337" s="3">
        <v>14225</v>
      </c>
      <c r="P337">
        <v>4761904762</v>
      </c>
      <c r="Q337" s="3">
        <v>71125</v>
      </c>
      <c r="R337">
        <v>91</v>
      </c>
      <c r="S337" s="3">
        <f>G337*SuperMarket_Analysis[[#This Row],[Quantity]]</f>
        <v>14225</v>
      </c>
    </row>
    <row r="338" spans="1:19" x14ac:dyDescent="0.25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177</v>
      </c>
      <c r="F338" s="1" t="s">
        <v>45</v>
      </c>
      <c r="G338" s="3">
        <v>764</v>
      </c>
      <c r="H338">
        <v>9</v>
      </c>
      <c r="I338" s="3">
        <v>3438</v>
      </c>
      <c r="J338">
        <v>72198</v>
      </c>
      <c r="K338" t="str">
        <f t="shared" si="5"/>
        <v>março</v>
      </c>
      <c r="L338" s="4">
        <v>43543</v>
      </c>
      <c r="M338" s="2">
        <v>0.65902777777777777</v>
      </c>
      <c r="N338" s="1" t="s">
        <v>23</v>
      </c>
      <c r="O338" s="3">
        <v>6876</v>
      </c>
      <c r="P338">
        <v>4761904762</v>
      </c>
      <c r="Q338" s="3">
        <v>3438</v>
      </c>
      <c r="R338">
        <v>75</v>
      </c>
      <c r="S338" s="3">
        <f>G338*SuperMarket_Analysis[[#This Row],[Quantity]]</f>
        <v>6876</v>
      </c>
    </row>
    <row r="339" spans="1:19" x14ac:dyDescent="0.25">
      <c r="A339" s="1" t="s">
        <v>373</v>
      </c>
      <c r="B339" s="1" t="s">
        <v>41</v>
      </c>
      <c r="C339" s="1" t="s">
        <v>42</v>
      </c>
      <c r="D339" s="1" t="s">
        <v>27</v>
      </c>
      <c r="E339" s="1" t="s">
        <v>21</v>
      </c>
      <c r="F339" s="1" t="s">
        <v>35</v>
      </c>
      <c r="G339" s="3">
        <v>5795</v>
      </c>
      <c r="H339">
        <v>6</v>
      </c>
      <c r="I339" s="3">
        <v>17385</v>
      </c>
      <c r="J339">
        <v>365085</v>
      </c>
      <c r="K339" t="str">
        <f t="shared" si="5"/>
        <v>fevereiro</v>
      </c>
      <c r="L339" s="4">
        <v>43520</v>
      </c>
      <c r="M339" s="2">
        <v>0.54305555555555551</v>
      </c>
      <c r="N339" s="1" t="s">
        <v>29</v>
      </c>
      <c r="O339" s="3">
        <v>3477</v>
      </c>
      <c r="P339">
        <v>4761904762</v>
      </c>
      <c r="Q339" s="3">
        <v>17385</v>
      </c>
      <c r="R339">
        <v>52</v>
      </c>
      <c r="S339" s="3">
        <f>G339*SuperMarket_Analysis[[#This Row],[Quantity]]</f>
        <v>34770</v>
      </c>
    </row>
    <row r="340" spans="1:19" x14ac:dyDescent="0.25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3">
        <v>4765</v>
      </c>
      <c r="H340">
        <v>3</v>
      </c>
      <c r="I340" s="3">
        <v>71475</v>
      </c>
      <c r="J340">
        <v>1500975</v>
      </c>
      <c r="K340" t="str">
        <f t="shared" si="5"/>
        <v>março</v>
      </c>
      <c r="L340" s="4">
        <v>43552</v>
      </c>
      <c r="M340" s="2">
        <v>0.54027777777777775</v>
      </c>
      <c r="N340" s="1" t="s">
        <v>32</v>
      </c>
      <c r="O340" s="3">
        <v>14295</v>
      </c>
      <c r="P340">
        <v>4761904762</v>
      </c>
      <c r="Q340" s="3">
        <v>71475</v>
      </c>
      <c r="R340">
        <v>95</v>
      </c>
      <c r="S340" s="3">
        <f>G340*SuperMarket_Analysis[[#This Row],[Quantity]]</f>
        <v>14295</v>
      </c>
    </row>
    <row r="341" spans="1:19" x14ac:dyDescent="0.25">
      <c r="A341" s="1" t="s">
        <v>375</v>
      </c>
      <c r="B341" s="1" t="s">
        <v>41</v>
      </c>
      <c r="C341" s="1" t="s">
        <v>42</v>
      </c>
      <c r="D341" s="1" t="s">
        <v>20</v>
      </c>
      <c r="E341" s="1" t="s">
        <v>21</v>
      </c>
      <c r="F341" s="1" t="s">
        <v>43</v>
      </c>
      <c r="G341" s="3">
        <v>4282</v>
      </c>
      <c r="H341">
        <v>9</v>
      </c>
      <c r="I341" s="3">
        <v>19269</v>
      </c>
      <c r="J341">
        <v>404649</v>
      </c>
      <c r="K341" t="str">
        <f t="shared" si="5"/>
        <v>fevereiro</v>
      </c>
      <c r="L341" s="4">
        <v>43501</v>
      </c>
      <c r="M341" s="2">
        <v>0.6430555555555556</v>
      </c>
      <c r="N341" s="1" t="s">
        <v>32</v>
      </c>
      <c r="O341" s="3">
        <v>38538</v>
      </c>
      <c r="P341">
        <v>4761904762</v>
      </c>
      <c r="Q341" s="3">
        <v>19269</v>
      </c>
      <c r="R341">
        <v>89</v>
      </c>
      <c r="S341" s="3">
        <f>G341*SuperMarket_Analysis[[#This Row],[Quantity]]</f>
        <v>38538</v>
      </c>
    </row>
    <row r="342" spans="1:19" x14ac:dyDescent="0.25">
      <c r="A342" s="1" t="s">
        <v>376</v>
      </c>
      <c r="B342" s="1" t="s">
        <v>41</v>
      </c>
      <c r="C342" s="1" t="s">
        <v>42</v>
      </c>
      <c r="D342" s="1" t="s">
        <v>20</v>
      </c>
      <c r="E342" s="1" t="s">
        <v>177</v>
      </c>
      <c r="F342" s="1" t="s">
        <v>28</v>
      </c>
      <c r="G342" s="3">
        <v>4809</v>
      </c>
      <c r="H342">
        <v>3</v>
      </c>
      <c r="I342" s="3">
        <v>72135</v>
      </c>
      <c r="J342">
        <v>1514835</v>
      </c>
      <c r="K342" t="str">
        <f t="shared" si="5"/>
        <v>fevereiro</v>
      </c>
      <c r="L342" s="4">
        <v>43506</v>
      </c>
      <c r="M342" s="2">
        <v>0.76597222222222228</v>
      </c>
      <c r="N342" s="1" t="s">
        <v>32</v>
      </c>
      <c r="O342" s="3">
        <v>14427</v>
      </c>
      <c r="P342">
        <v>4761904762</v>
      </c>
      <c r="Q342" s="3">
        <v>72135</v>
      </c>
      <c r="R342">
        <v>78</v>
      </c>
      <c r="S342" s="3">
        <f>G342*SuperMarket_Analysis[[#This Row],[Quantity]]</f>
        <v>14427</v>
      </c>
    </row>
    <row r="343" spans="1:19" x14ac:dyDescent="0.25">
      <c r="A343" s="1" t="s">
        <v>377</v>
      </c>
      <c r="B343" s="1" t="s">
        <v>41</v>
      </c>
      <c r="C343" s="1" t="s">
        <v>42</v>
      </c>
      <c r="D343" s="1" t="s">
        <v>20</v>
      </c>
      <c r="E343" s="1" t="s">
        <v>21</v>
      </c>
      <c r="F343" s="1" t="s">
        <v>22</v>
      </c>
      <c r="G343" s="3">
        <v>5597</v>
      </c>
      <c r="H343">
        <v>7</v>
      </c>
      <c r="I343" s="3">
        <v>195895</v>
      </c>
      <c r="J343">
        <v>4113795</v>
      </c>
      <c r="K343" t="str">
        <f t="shared" si="5"/>
        <v>março</v>
      </c>
      <c r="L343" s="4">
        <v>43529</v>
      </c>
      <c r="M343" s="2">
        <v>0.79583333333333328</v>
      </c>
      <c r="N343" s="1" t="s">
        <v>23</v>
      </c>
      <c r="O343" s="3">
        <v>39179</v>
      </c>
      <c r="P343">
        <v>4761904762</v>
      </c>
      <c r="Q343" s="3">
        <v>195895</v>
      </c>
      <c r="R343">
        <v>89</v>
      </c>
      <c r="S343" s="3">
        <f>G343*SuperMarket_Analysis[[#This Row],[Quantity]]</f>
        <v>39179</v>
      </c>
    </row>
    <row r="344" spans="1:19" x14ac:dyDescent="0.25">
      <c r="A344" s="1" t="s">
        <v>378</v>
      </c>
      <c r="B344" s="1" t="s">
        <v>41</v>
      </c>
      <c r="C344" s="1" t="s">
        <v>42</v>
      </c>
      <c r="D344" s="1" t="s">
        <v>20</v>
      </c>
      <c r="E344" s="1" t="s">
        <v>21</v>
      </c>
      <c r="F344" s="1" t="s">
        <v>22</v>
      </c>
      <c r="G344" s="3">
        <v>769</v>
      </c>
      <c r="H344">
        <v>7</v>
      </c>
      <c r="I344" s="3">
        <v>26915</v>
      </c>
      <c r="J344">
        <v>565215</v>
      </c>
      <c r="K344" t="str">
        <f t="shared" si="5"/>
        <v>fevereiro</v>
      </c>
      <c r="L344" s="4">
        <v>43511</v>
      </c>
      <c r="M344" s="2">
        <v>0.84791666666666665</v>
      </c>
      <c r="N344" s="1" t="s">
        <v>29</v>
      </c>
      <c r="O344" s="3">
        <v>5383</v>
      </c>
      <c r="P344">
        <v>4761904762</v>
      </c>
      <c r="Q344" s="3">
        <v>26915</v>
      </c>
      <c r="R344">
        <v>77</v>
      </c>
      <c r="S344" s="3">
        <f>G344*SuperMarket_Analysis[[#This Row],[Quantity]]</f>
        <v>5383</v>
      </c>
    </row>
    <row r="345" spans="1:19" x14ac:dyDescent="0.25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43</v>
      </c>
      <c r="G345" s="3">
        <v>9703</v>
      </c>
      <c r="H345">
        <v>5</v>
      </c>
      <c r="I345" s="3">
        <v>242575</v>
      </c>
      <c r="J345">
        <v>5094075</v>
      </c>
      <c r="K345" t="str">
        <f t="shared" si="5"/>
        <v>janeiro</v>
      </c>
      <c r="L345" s="4">
        <v>43495</v>
      </c>
      <c r="M345" s="2">
        <v>0.68333333333333335</v>
      </c>
      <c r="N345" s="1" t="s">
        <v>23</v>
      </c>
      <c r="O345" s="3">
        <v>48515</v>
      </c>
      <c r="P345">
        <v>4761904762</v>
      </c>
      <c r="Q345" s="3">
        <v>242575</v>
      </c>
      <c r="R345">
        <v>93</v>
      </c>
      <c r="S345" s="3">
        <f>G345*SuperMarket_Analysis[[#This Row],[Quantity]]</f>
        <v>48515</v>
      </c>
    </row>
    <row r="346" spans="1:19" x14ac:dyDescent="0.25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177</v>
      </c>
      <c r="F346" s="1" t="s">
        <v>35</v>
      </c>
      <c r="G346" s="3">
        <v>4465</v>
      </c>
      <c r="H346">
        <v>3</v>
      </c>
      <c r="I346" s="3">
        <v>66975</v>
      </c>
      <c r="J346">
        <v>1406475</v>
      </c>
      <c r="K346" t="str">
        <f t="shared" si="5"/>
        <v>fevereiro</v>
      </c>
      <c r="L346" s="4">
        <v>43510</v>
      </c>
      <c r="M346" s="2">
        <v>0.62777777777777777</v>
      </c>
      <c r="N346" s="1" t="s">
        <v>29</v>
      </c>
      <c r="O346" s="3">
        <v>13395</v>
      </c>
      <c r="P346">
        <v>4761904762</v>
      </c>
      <c r="Q346" s="3">
        <v>66975</v>
      </c>
      <c r="R346">
        <v>62</v>
      </c>
      <c r="S346" s="3">
        <f>G346*SuperMarket_Analysis[[#This Row],[Quantity]]</f>
        <v>13395</v>
      </c>
    </row>
    <row r="347" spans="1:19" x14ac:dyDescent="0.25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45</v>
      </c>
      <c r="G347" s="3">
        <v>7793</v>
      </c>
      <c r="H347">
        <v>9</v>
      </c>
      <c r="I347" s="3">
        <v>350685</v>
      </c>
      <c r="J347">
        <v>7364385</v>
      </c>
      <c r="K347" t="str">
        <f t="shared" si="5"/>
        <v>fevereiro</v>
      </c>
      <c r="L347" s="4">
        <v>43523</v>
      </c>
      <c r="M347" s="2">
        <v>0.67361111111111116</v>
      </c>
      <c r="N347" s="1" t="s">
        <v>23</v>
      </c>
      <c r="O347" s="3">
        <v>70137</v>
      </c>
      <c r="P347">
        <v>4761904762</v>
      </c>
      <c r="Q347" s="3">
        <v>350685</v>
      </c>
      <c r="R347">
        <v>76</v>
      </c>
      <c r="S347" s="3">
        <f>G347*SuperMarket_Analysis[[#This Row],[Quantity]]</f>
        <v>70137</v>
      </c>
    </row>
    <row r="348" spans="1:19" x14ac:dyDescent="0.25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177</v>
      </c>
      <c r="F348" s="1" t="s">
        <v>28</v>
      </c>
      <c r="G348" s="3">
        <v>7195</v>
      </c>
      <c r="H348">
        <v>1</v>
      </c>
      <c r="I348" s="3">
        <v>35975</v>
      </c>
      <c r="J348">
        <v>755475</v>
      </c>
      <c r="K348" t="str">
        <f t="shared" si="5"/>
        <v>fevereiro</v>
      </c>
      <c r="L348" s="4">
        <v>43500</v>
      </c>
      <c r="M348" s="2">
        <v>0.50972222222222219</v>
      </c>
      <c r="N348" s="1" t="s">
        <v>29</v>
      </c>
      <c r="O348" s="3">
        <v>7195</v>
      </c>
      <c r="P348">
        <v>4761904762</v>
      </c>
      <c r="Q348" s="3">
        <v>35975</v>
      </c>
      <c r="R348">
        <v>73</v>
      </c>
      <c r="S348" s="3">
        <f>G348*SuperMarket_Analysis[[#This Row],[Quantity]]</f>
        <v>7195</v>
      </c>
    </row>
    <row r="349" spans="1:19" x14ac:dyDescent="0.25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3">
        <v>8925</v>
      </c>
      <c r="H349">
        <v>8</v>
      </c>
      <c r="I349" s="3">
        <v>357</v>
      </c>
      <c r="J349">
        <v>7497</v>
      </c>
      <c r="K349" t="str">
        <f t="shared" si="5"/>
        <v>janeiro</v>
      </c>
      <c r="L349" s="4">
        <v>43485</v>
      </c>
      <c r="M349" s="2">
        <v>0.42569444444444443</v>
      </c>
      <c r="N349" s="1" t="s">
        <v>29</v>
      </c>
      <c r="O349" s="3">
        <v>714</v>
      </c>
      <c r="P349">
        <v>4761904762</v>
      </c>
      <c r="Q349" s="3">
        <v>357</v>
      </c>
      <c r="R349">
        <v>47</v>
      </c>
      <c r="S349" s="3">
        <f>G349*SuperMarket_Analysis[[#This Row],[Quantity]]</f>
        <v>71400</v>
      </c>
    </row>
    <row r="350" spans="1:19" x14ac:dyDescent="0.25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177</v>
      </c>
      <c r="F350" s="1" t="s">
        <v>28</v>
      </c>
      <c r="G350" s="3">
        <v>2602</v>
      </c>
      <c r="H350">
        <v>7</v>
      </c>
      <c r="I350" s="3">
        <v>9107</v>
      </c>
      <c r="J350">
        <v>191247</v>
      </c>
      <c r="K350" t="str">
        <f t="shared" si="5"/>
        <v>março</v>
      </c>
      <c r="L350" s="4">
        <v>43552</v>
      </c>
      <c r="M350" s="2">
        <v>0.73472222222222228</v>
      </c>
      <c r="N350" s="1" t="s">
        <v>29</v>
      </c>
      <c r="O350" s="3">
        <v>18214</v>
      </c>
      <c r="P350">
        <v>4761904762</v>
      </c>
      <c r="Q350" s="3">
        <v>9107</v>
      </c>
      <c r="R350">
        <v>51</v>
      </c>
      <c r="S350" s="3">
        <f>G350*SuperMarket_Analysis[[#This Row],[Quantity]]</f>
        <v>18214</v>
      </c>
    </row>
    <row r="351" spans="1:19" x14ac:dyDescent="0.25">
      <c r="A351" s="1" t="s">
        <v>385</v>
      </c>
      <c r="B351" s="1" t="s">
        <v>41</v>
      </c>
      <c r="C351" s="1" t="s">
        <v>42</v>
      </c>
      <c r="D351" s="1" t="s">
        <v>27</v>
      </c>
      <c r="E351" s="1" t="s">
        <v>21</v>
      </c>
      <c r="F351" s="1" t="s">
        <v>22</v>
      </c>
      <c r="G351" s="3">
        <v>135</v>
      </c>
      <c r="H351">
        <v>10</v>
      </c>
      <c r="I351" s="3">
        <v>675</v>
      </c>
      <c r="J351">
        <v>14175</v>
      </c>
      <c r="K351" t="str">
        <f t="shared" si="5"/>
        <v>fevereiro</v>
      </c>
      <c r="L351" s="4">
        <v>43523</v>
      </c>
      <c r="M351" s="2">
        <v>0.46250000000000002</v>
      </c>
      <c r="N351" s="1" t="s">
        <v>32</v>
      </c>
      <c r="O351" s="3">
        <v>135</v>
      </c>
      <c r="P351">
        <v>4761904762</v>
      </c>
      <c r="Q351" s="3">
        <v>675</v>
      </c>
      <c r="R351">
        <v>48</v>
      </c>
      <c r="S351" s="3">
        <f>G351*SuperMarket_Analysis[[#This Row],[Quantity]]</f>
        <v>1350</v>
      </c>
    </row>
    <row r="352" spans="1:19" x14ac:dyDescent="0.25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45</v>
      </c>
      <c r="G352" s="3">
        <v>993</v>
      </c>
      <c r="H352">
        <v>10</v>
      </c>
      <c r="I352" s="3">
        <v>4965</v>
      </c>
      <c r="J352">
        <v>104265</v>
      </c>
      <c r="K352" t="str">
        <f t="shared" si="5"/>
        <v>fevereiro</v>
      </c>
      <c r="L352" s="4">
        <v>43511</v>
      </c>
      <c r="M352" s="2">
        <v>0.62013888888888891</v>
      </c>
      <c r="N352" s="1" t="s">
        <v>32</v>
      </c>
      <c r="O352" s="3">
        <v>993</v>
      </c>
      <c r="P352">
        <v>4761904762</v>
      </c>
      <c r="Q352" s="3">
        <v>4965</v>
      </c>
      <c r="R352">
        <v>66</v>
      </c>
      <c r="S352" s="3">
        <f>G352*SuperMarket_Analysis[[#This Row],[Quantity]]</f>
        <v>9930</v>
      </c>
    </row>
    <row r="353" spans="1:19" x14ac:dyDescent="0.25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177</v>
      </c>
      <c r="F353" s="1" t="s">
        <v>28</v>
      </c>
      <c r="G353" s="3">
        <v>5169</v>
      </c>
      <c r="H353">
        <v>7</v>
      </c>
      <c r="I353" s="3">
        <v>180915</v>
      </c>
      <c r="J353">
        <v>3799215</v>
      </c>
      <c r="K353" t="str">
        <f t="shared" si="5"/>
        <v>janeiro</v>
      </c>
      <c r="L353" s="4">
        <v>43491</v>
      </c>
      <c r="M353" s="2">
        <v>0.76527777777777772</v>
      </c>
      <c r="N353" s="1" t="s">
        <v>29</v>
      </c>
      <c r="O353" s="3">
        <v>36183</v>
      </c>
      <c r="P353">
        <v>4761904762</v>
      </c>
      <c r="Q353" s="3">
        <v>180915</v>
      </c>
      <c r="R353">
        <v>55</v>
      </c>
      <c r="S353" s="3">
        <f>G353*SuperMarket_Analysis[[#This Row],[Quantity]]</f>
        <v>36183</v>
      </c>
    </row>
    <row r="354" spans="1:19" x14ac:dyDescent="0.25">
      <c r="A354" s="1" t="s">
        <v>388</v>
      </c>
      <c r="B354" s="1" t="s">
        <v>41</v>
      </c>
      <c r="C354" s="1" t="s">
        <v>42</v>
      </c>
      <c r="D354" s="1" t="s">
        <v>20</v>
      </c>
      <c r="E354" s="1" t="s">
        <v>21</v>
      </c>
      <c r="F354" s="1" t="s">
        <v>45</v>
      </c>
      <c r="G354" s="3">
        <v>5473</v>
      </c>
      <c r="H354">
        <v>7</v>
      </c>
      <c r="I354" s="3">
        <v>191555</v>
      </c>
      <c r="J354">
        <v>4022655</v>
      </c>
      <c r="K354" t="str">
        <f t="shared" si="5"/>
        <v>março</v>
      </c>
      <c r="L354" s="4">
        <v>43538</v>
      </c>
      <c r="M354" s="2">
        <v>0.79305555555555551</v>
      </c>
      <c r="N354" s="1" t="s">
        <v>32</v>
      </c>
      <c r="O354" s="3">
        <v>38311</v>
      </c>
      <c r="P354">
        <v>4761904762</v>
      </c>
      <c r="Q354" s="3">
        <v>191555</v>
      </c>
      <c r="R354">
        <v>85</v>
      </c>
      <c r="S354" s="3">
        <f>G354*SuperMarket_Analysis[[#This Row],[Quantity]]</f>
        <v>38311</v>
      </c>
    </row>
    <row r="355" spans="1:19" x14ac:dyDescent="0.25">
      <c r="A355" s="1" t="s">
        <v>389</v>
      </c>
      <c r="B355" s="1" t="s">
        <v>41</v>
      </c>
      <c r="C355" s="1" t="s">
        <v>42</v>
      </c>
      <c r="D355" s="1" t="s">
        <v>20</v>
      </c>
      <c r="E355" s="1" t="s">
        <v>177</v>
      </c>
      <c r="F355" s="1" t="s">
        <v>31</v>
      </c>
      <c r="G355" s="3">
        <v>27</v>
      </c>
      <c r="H355">
        <v>9</v>
      </c>
      <c r="I355" s="3">
        <v>1215</v>
      </c>
      <c r="J355">
        <v>25515</v>
      </c>
      <c r="K355" t="str">
        <f t="shared" si="5"/>
        <v>março</v>
      </c>
      <c r="L355" s="4">
        <v>43526</v>
      </c>
      <c r="M355" s="2">
        <v>0.59444444444444444</v>
      </c>
      <c r="N355" s="1" t="s">
        <v>29</v>
      </c>
      <c r="O355" s="3">
        <v>243</v>
      </c>
      <c r="P355">
        <v>4761904762</v>
      </c>
      <c r="Q355" s="3">
        <v>1215</v>
      </c>
      <c r="R355">
        <v>48</v>
      </c>
      <c r="S355" s="3">
        <f>G355*SuperMarket_Analysis[[#This Row],[Quantity]]</f>
        <v>243</v>
      </c>
    </row>
    <row r="356" spans="1:19" x14ac:dyDescent="0.25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3">
        <v>3024</v>
      </c>
      <c r="H356">
        <v>1</v>
      </c>
      <c r="I356" s="3">
        <v>1512</v>
      </c>
      <c r="J356">
        <v>31752</v>
      </c>
      <c r="K356" t="str">
        <f t="shared" si="5"/>
        <v>março</v>
      </c>
      <c r="L356" s="4">
        <v>43528</v>
      </c>
      <c r="M356" s="2">
        <v>0.65555555555555556</v>
      </c>
      <c r="N356" s="1" t="s">
        <v>29</v>
      </c>
      <c r="O356" s="3">
        <v>3024</v>
      </c>
      <c r="P356">
        <v>4761904762</v>
      </c>
      <c r="Q356" s="3">
        <v>1512</v>
      </c>
      <c r="R356">
        <v>84</v>
      </c>
      <c r="S356" s="3">
        <f>G356*SuperMarket_Analysis[[#This Row],[Quantity]]</f>
        <v>3024</v>
      </c>
    </row>
    <row r="357" spans="1:19" x14ac:dyDescent="0.25">
      <c r="A357" s="1" t="s">
        <v>391</v>
      </c>
      <c r="B357" s="1" t="s">
        <v>41</v>
      </c>
      <c r="C357" s="1" t="s">
        <v>42</v>
      </c>
      <c r="D357" s="1" t="s">
        <v>20</v>
      </c>
      <c r="E357" s="1" t="s">
        <v>21</v>
      </c>
      <c r="F357" s="1" t="s">
        <v>43</v>
      </c>
      <c r="G357" s="3">
        <v>8914</v>
      </c>
      <c r="H357">
        <v>4</v>
      </c>
      <c r="I357" s="3">
        <v>17828</v>
      </c>
      <c r="J357">
        <v>374388</v>
      </c>
      <c r="K357" t="str">
        <f t="shared" si="5"/>
        <v>janeiro</v>
      </c>
      <c r="L357" s="4">
        <v>43472</v>
      </c>
      <c r="M357" s="2">
        <v>0.51388888888888884</v>
      </c>
      <c r="N357" s="1" t="s">
        <v>32</v>
      </c>
      <c r="O357" s="3">
        <v>35656</v>
      </c>
      <c r="P357">
        <v>4761904762</v>
      </c>
      <c r="Q357" s="3">
        <v>17828</v>
      </c>
      <c r="R357">
        <v>78</v>
      </c>
      <c r="S357" s="3">
        <f>G357*SuperMarket_Analysis[[#This Row],[Quantity]]</f>
        <v>35656</v>
      </c>
    </row>
    <row r="358" spans="1:19" x14ac:dyDescent="0.25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45</v>
      </c>
      <c r="G358" s="3">
        <v>3755</v>
      </c>
      <c r="H358">
        <v>10</v>
      </c>
      <c r="I358" s="3">
        <v>18775</v>
      </c>
      <c r="J358">
        <v>394275</v>
      </c>
      <c r="K358" t="str">
        <f t="shared" si="5"/>
        <v>março</v>
      </c>
      <c r="L358" s="4">
        <v>43532</v>
      </c>
      <c r="M358" s="2">
        <v>0.83402777777777781</v>
      </c>
      <c r="N358" s="1" t="s">
        <v>32</v>
      </c>
      <c r="O358" s="3">
        <v>3755</v>
      </c>
      <c r="P358">
        <v>4761904762</v>
      </c>
      <c r="Q358" s="3">
        <v>18775</v>
      </c>
      <c r="R358">
        <v>93</v>
      </c>
      <c r="S358" s="3">
        <f>G358*SuperMarket_Analysis[[#This Row],[Quantity]]</f>
        <v>37550</v>
      </c>
    </row>
    <row r="359" spans="1:19" x14ac:dyDescent="0.25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35</v>
      </c>
      <c r="G359" s="3">
        <v>9544</v>
      </c>
      <c r="H359">
        <v>10</v>
      </c>
      <c r="I359" s="3">
        <v>4772</v>
      </c>
      <c r="J359">
        <v>100212</v>
      </c>
      <c r="K359" t="str">
        <f t="shared" si="5"/>
        <v>janeiro</v>
      </c>
      <c r="L359" s="4">
        <v>43474</v>
      </c>
      <c r="M359" s="2">
        <v>0.57291666666666663</v>
      </c>
      <c r="N359" s="1" t="s">
        <v>29</v>
      </c>
      <c r="O359" s="3">
        <v>9544</v>
      </c>
      <c r="P359">
        <v>4761904762</v>
      </c>
      <c r="Q359" s="3">
        <v>4772</v>
      </c>
      <c r="R359">
        <v>52</v>
      </c>
      <c r="S359" s="3">
        <f>G359*SuperMarket_Analysis[[#This Row],[Quantity]]</f>
        <v>95440</v>
      </c>
    </row>
    <row r="360" spans="1:19" x14ac:dyDescent="0.25">
      <c r="A360" s="1" t="s">
        <v>394</v>
      </c>
      <c r="B360" s="1" t="s">
        <v>41</v>
      </c>
      <c r="C360" s="1" t="s">
        <v>42</v>
      </c>
      <c r="D360" s="1" t="s">
        <v>27</v>
      </c>
      <c r="E360" s="1" t="s">
        <v>177</v>
      </c>
      <c r="F360" s="1" t="s">
        <v>28</v>
      </c>
      <c r="G360" s="3">
        <v>275</v>
      </c>
      <c r="H360">
        <v>3</v>
      </c>
      <c r="I360" s="3">
        <v>4125</v>
      </c>
      <c r="J360">
        <v>86625</v>
      </c>
      <c r="K360" t="str">
        <f t="shared" si="5"/>
        <v>março</v>
      </c>
      <c r="L360" s="4">
        <v>43525</v>
      </c>
      <c r="M360" s="2">
        <v>0.65277777777777779</v>
      </c>
      <c r="N360" s="1" t="s">
        <v>23</v>
      </c>
      <c r="O360" s="3">
        <v>825</v>
      </c>
      <c r="P360">
        <v>4761904762</v>
      </c>
      <c r="Q360" s="3">
        <v>4125</v>
      </c>
      <c r="R360">
        <v>65</v>
      </c>
      <c r="S360" s="3">
        <f>G360*SuperMarket_Analysis[[#This Row],[Quantity]]</f>
        <v>825</v>
      </c>
    </row>
    <row r="361" spans="1:19" x14ac:dyDescent="0.25">
      <c r="A361" s="1" t="s">
        <v>395</v>
      </c>
      <c r="B361" s="1" t="s">
        <v>41</v>
      </c>
      <c r="C361" s="1" t="s">
        <v>42</v>
      </c>
      <c r="D361" s="1" t="s">
        <v>27</v>
      </c>
      <c r="E361" s="1" t="s">
        <v>177</v>
      </c>
      <c r="F361" s="1" t="s">
        <v>35</v>
      </c>
      <c r="G361" s="3">
        <v>7497</v>
      </c>
      <c r="H361">
        <v>1</v>
      </c>
      <c r="I361" s="3">
        <v>37485</v>
      </c>
      <c r="J361">
        <v>787185</v>
      </c>
      <c r="K361" t="str">
        <f t="shared" si="5"/>
        <v>março</v>
      </c>
      <c r="L361" s="4">
        <v>43540</v>
      </c>
      <c r="M361" s="2">
        <v>0.70694444444444449</v>
      </c>
      <c r="N361" s="1" t="s">
        <v>29</v>
      </c>
      <c r="O361" s="3">
        <v>7497</v>
      </c>
      <c r="P361">
        <v>4761904762</v>
      </c>
      <c r="Q361" s="3">
        <v>37485</v>
      </c>
      <c r="R361">
        <v>56</v>
      </c>
      <c r="S361" s="3">
        <f>G361*SuperMarket_Analysis[[#This Row],[Quantity]]</f>
        <v>7497</v>
      </c>
    </row>
    <row r="362" spans="1:19" x14ac:dyDescent="0.25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177</v>
      </c>
      <c r="F362" s="1" t="s">
        <v>43</v>
      </c>
      <c r="G362" s="3">
        <v>8096</v>
      </c>
      <c r="H362">
        <v>8</v>
      </c>
      <c r="I362" s="3">
        <v>32384</v>
      </c>
      <c r="J362">
        <v>680064</v>
      </c>
      <c r="K362" t="str">
        <f t="shared" si="5"/>
        <v>fevereiro</v>
      </c>
      <c r="L362" s="4">
        <v>43513</v>
      </c>
      <c r="M362" s="2">
        <v>0.46666666666666667</v>
      </c>
      <c r="N362" s="1" t="s">
        <v>32</v>
      </c>
      <c r="O362" s="3">
        <v>64768</v>
      </c>
      <c r="P362">
        <v>4761904762</v>
      </c>
      <c r="Q362" s="3">
        <v>32384</v>
      </c>
      <c r="R362">
        <v>74</v>
      </c>
      <c r="S362" s="3">
        <f>G362*SuperMarket_Analysis[[#This Row],[Quantity]]</f>
        <v>64768</v>
      </c>
    </row>
    <row r="363" spans="1:19" x14ac:dyDescent="0.25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43</v>
      </c>
      <c r="G363" s="3">
        <v>9447</v>
      </c>
      <c r="H363">
        <v>8</v>
      </c>
      <c r="I363" s="3">
        <v>37788</v>
      </c>
      <c r="J363">
        <v>793548</v>
      </c>
      <c r="K363" t="str">
        <f t="shared" si="5"/>
        <v>fevereiro</v>
      </c>
      <c r="L363" s="4">
        <v>43523</v>
      </c>
      <c r="M363" s="2">
        <v>0.6333333333333333</v>
      </c>
      <c r="N363" s="1" t="s">
        <v>29</v>
      </c>
      <c r="O363" s="3">
        <v>75576</v>
      </c>
      <c r="P363">
        <v>4761904762</v>
      </c>
      <c r="Q363" s="3">
        <v>37788</v>
      </c>
      <c r="R363">
        <v>91</v>
      </c>
      <c r="S363" s="3">
        <f>G363*SuperMarket_Analysis[[#This Row],[Quantity]]</f>
        <v>75576</v>
      </c>
    </row>
    <row r="364" spans="1:19" x14ac:dyDescent="0.25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177</v>
      </c>
      <c r="F364" s="1" t="s">
        <v>43</v>
      </c>
      <c r="G364" s="3">
        <v>9979</v>
      </c>
      <c r="H364">
        <v>2</v>
      </c>
      <c r="I364" s="3">
        <v>9979</v>
      </c>
      <c r="J364">
        <v>209559</v>
      </c>
      <c r="K364" t="str">
        <f t="shared" si="5"/>
        <v>março</v>
      </c>
      <c r="L364" s="4">
        <v>43531</v>
      </c>
      <c r="M364" s="2">
        <v>0.85902777777777772</v>
      </c>
      <c r="N364" s="1" t="s">
        <v>23</v>
      </c>
      <c r="O364" s="3">
        <v>19958</v>
      </c>
      <c r="P364">
        <v>4761904762</v>
      </c>
      <c r="Q364" s="3">
        <v>9979</v>
      </c>
      <c r="R364">
        <v>8</v>
      </c>
      <c r="S364" s="3">
        <f>G364*SuperMarket_Analysis[[#This Row],[Quantity]]</f>
        <v>19958</v>
      </c>
    </row>
    <row r="365" spans="1:19" x14ac:dyDescent="0.25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177</v>
      </c>
      <c r="F365" s="1" t="s">
        <v>31</v>
      </c>
      <c r="G365" s="3">
        <v>7322</v>
      </c>
      <c r="H365">
        <v>6</v>
      </c>
      <c r="I365" s="3">
        <v>21966</v>
      </c>
      <c r="J365">
        <v>461286</v>
      </c>
      <c r="K365" t="str">
        <f t="shared" si="5"/>
        <v>janeiro</v>
      </c>
      <c r="L365" s="4">
        <v>43486</v>
      </c>
      <c r="M365" s="2">
        <v>0.73888888888888893</v>
      </c>
      <c r="N365" s="1" t="s">
        <v>29</v>
      </c>
      <c r="O365" s="3">
        <v>43932</v>
      </c>
      <c r="P365">
        <v>4761904762</v>
      </c>
      <c r="Q365" s="3">
        <v>21966</v>
      </c>
      <c r="R365">
        <v>72</v>
      </c>
      <c r="S365" s="3">
        <f>G365*SuperMarket_Analysis[[#This Row],[Quantity]]</f>
        <v>43932</v>
      </c>
    </row>
    <row r="366" spans="1:19" x14ac:dyDescent="0.25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43</v>
      </c>
      <c r="G366" s="3">
        <v>4124</v>
      </c>
      <c r="H366">
        <v>4</v>
      </c>
      <c r="I366" s="3">
        <v>8248</v>
      </c>
      <c r="J366">
        <v>173208</v>
      </c>
      <c r="K366" t="str">
        <f t="shared" si="5"/>
        <v>fevereiro</v>
      </c>
      <c r="L366" s="4">
        <v>43515</v>
      </c>
      <c r="M366" s="2">
        <v>0.68263888888888891</v>
      </c>
      <c r="N366" s="1" t="s">
        <v>29</v>
      </c>
      <c r="O366" s="3">
        <v>16496</v>
      </c>
      <c r="P366">
        <v>4761904762</v>
      </c>
      <c r="Q366" s="3">
        <v>8248</v>
      </c>
      <c r="R366">
        <v>71</v>
      </c>
      <c r="S366" s="3">
        <f>G366*SuperMarket_Analysis[[#This Row],[Quantity]]</f>
        <v>16496</v>
      </c>
    </row>
    <row r="367" spans="1:19" x14ac:dyDescent="0.25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45</v>
      </c>
      <c r="G367" s="3">
        <v>8168</v>
      </c>
      <c r="H367">
        <v>4</v>
      </c>
      <c r="I367" s="3">
        <v>16336</v>
      </c>
      <c r="J367">
        <v>343056</v>
      </c>
      <c r="K367" t="str">
        <f t="shared" si="5"/>
        <v>janeiro</v>
      </c>
      <c r="L367" s="4">
        <v>43471</v>
      </c>
      <c r="M367" s="2">
        <v>0.5083333333333333</v>
      </c>
      <c r="N367" s="1" t="s">
        <v>29</v>
      </c>
      <c r="O367" s="3">
        <v>32672</v>
      </c>
      <c r="P367">
        <v>4761904762</v>
      </c>
      <c r="Q367" s="3">
        <v>16336</v>
      </c>
      <c r="R367">
        <v>91</v>
      </c>
      <c r="S367" s="3">
        <f>G367*SuperMarket_Analysis[[#This Row],[Quantity]]</f>
        <v>32672</v>
      </c>
    </row>
    <row r="368" spans="1:19" x14ac:dyDescent="0.25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3">
        <v>5132</v>
      </c>
      <c r="H368">
        <v>9</v>
      </c>
      <c r="I368" s="3">
        <v>23094</v>
      </c>
      <c r="J368">
        <v>484974</v>
      </c>
      <c r="K368" t="str">
        <f t="shared" si="5"/>
        <v>março</v>
      </c>
      <c r="L368" s="4">
        <v>43538</v>
      </c>
      <c r="M368" s="2">
        <v>0.81458333333333333</v>
      </c>
      <c r="N368" s="1" t="s">
        <v>29</v>
      </c>
      <c r="O368" s="3">
        <v>46188</v>
      </c>
      <c r="P368">
        <v>4761904762</v>
      </c>
      <c r="Q368" s="3">
        <v>23094</v>
      </c>
      <c r="R368">
        <v>56</v>
      </c>
      <c r="S368" s="3">
        <f>G368*SuperMarket_Analysis[[#This Row],[Quantity]]</f>
        <v>46188</v>
      </c>
    </row>
    <row r="369" spans="1:19" x14ac:dyDescent="0.25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177</v>
      </c>
      <c r="F369" s="1" t="s">
        <v>31</v>
      </c>
      <c r="G369" s="3">
        <v>6594</v>
      </c>
      <c r="H369">
        <v>4</v>
      </c>
      <c r="I369" s="3">
        <v>13188</v>
      </c>
      <c r="J369">
        <v>276948</v>
      </c>
      <c r="K369" t="str">
        <f t="shared" si="5"/>
        <v>março</v>
      </c>
      <c r="L369" s="4">
        <v>43548</v>
      </c>
      <c r="M369" s="2">
        <v>0.43680555555555556</v>
      </c>
      <c r="N369" s="1" t="s">
        <v>29</v>
      </c>
      <c r="O369" s="3">
        <v>26376</v>
      </c>
      <c r="P369">
        <v>4761904762</v>
      </c>
      <c r="Q369" s="3">
        <v>13188</v>
      </c>
      <c r="R369">
        <v>6</v>
      </c>
      <c r="S369" s="3">
        <f>G369*SuperMarket_Analysis[[#This Row],[Quantity]]</f>
        <v>26376</v>
      </c>
    </row>
    <row r="370" spans="1:19" x14ac:dyDescent="0.25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35</v>
      </c>
      <c r="G370" s="3">
        <v>1436</v>
      </c>
      <c r="H370">
        <v>10</v>
      </c>
      <c r="I370" s="3">
        <v>718</v>
      </c>
      <c r="J370">
        <v>15078</v>
      </c>
      <c r="K370" t="str">
        <f t="shared" si="5"/>
        <v>janeiro</v>
      </c>
      <c r="L370" s="4">
        <v>43492</v>
      </c>
      <c r="M370" s="2">
        <v>0.60277777777777775</v>
      </c>
      <c r="N370" s="1" t="s">
        <v>29</v>
      </c>
      <c r="O370" s="3">
        <v>1436</v>
      </c>
      <c r="P370">
        <v>4761904762</v>
      </c>
      <c r="Q370" s="3">
        <v>718</v>
      </c>
      <c r="R370">
        <v>54</v>
      </c>
      <c r="S370" s="3">
        <f>G370*SuperMarket_Analysis[[#This Row],[Quantity]]</f>
        <v>14360</v>
      </c>
    </row>
    <row r="371" spans="1:19" x14ac:dyDescent="0.25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177</v>
      </c>
      <c r="F371" s="1" t="s">
        <v>28</v>
      </c>
      <c r="G371" s="3">
        <v>215</v>
      </c>
      <c r="H371">
        <v>9</v>
      </c>
      <c r="I371" s="3">
        <v>9675</v>
      </c>
      <c r="J371">
        <v>203175</v>
      </c>
      <c r="K371" t="str">
        <f t="shared" si="5"/>
        <v>março</v>
      </c>
      <c r="L371" s="4">
        <v>43530</v>
      </c>
      <c r="M371" s="2">
        <v>0.53194444444444444</v>
      </c>
      <c r="N371" s="1" t="s">
        <v>32</v>
      </c>
      <c r="O371" s="3">
        <v>1935</v>
      </c>
      <c r="P371">
        <v>4761904762</v>
      </c>
      <c r="Q371" s="3">
        <v>9675</v>
      </c>
      <c r="R371">
        <v>78</v>
      </c>
      <c r="S371" s="3">
        <f>G371*SuperMarket_Analysis[[#This Row],[Quantity]]</f>
        <v>1935</v>
      </c>
    </row>
    <row r="372" spans="1:19" x14ac:dyDescent="0.25">
      <c r="A372" s="1" t="s">
        <v>406</v>
      </c>
      <c r="B372" s="1" t="s">
        <v>41</v>
      </c>
      <c r="C372" s="1" t="s">
        <v>42</v>
      </c>
      <c r="D372" s="1" t="s">
        <v>20</v>
      </c>
      <c r="E372" s="1" t="s">
        <v>21</v>
      </c>
      <c r="F372" s="1" t="s">
        <v>28</v>
      </c>
      <c r="G372" s="3">
        <v>2626</v>
      </c>
      <c r="H372">
        <v>7</v>
      </c>
      <c r="I372" s="3">
        <v>9191</v>
      </c>
      <c r="J372">
        <v>193011</v>
      </c>
      <c r="K372" t="str">
        <f t="shared" si="5"/>
        <v>fevereiro</v>
      </c>
      <c r="L372" s="4">
        <v>43498</v>
      </c>
      <c r="M372" s="2">
        <v>0.81944444444444442</v>
      </c>
      <c r="N372" s="1" t="s">
        <v>29</v>
      </c>
      <c r="O372" s="3">
        <v>18382</v>
      </c>
      <c r="P372">
        <v>4761904762</v>
      </c>
      <c r="Q372" s="3">
        <v>9191</v>
      </c>
      <c r="R372">
        <v>99</v>
      </c>
      <c r="S372" s="3">
        <f>G372*SuperMarket_Analysis[[#This Row],[Quantity]]</f>
        <v>18382</v>
      </c>
    </row>
    <row r="373" spans="1:19" x14ac:dyDescent="0.25">
      <c r="A373" s="1" t="s">
        <v>407</v>
      </c>
      <c r="B373" s="1" t="s">
        <v>41</v>
      </c>
      <c r="C373" s="1" t="s">
        <v>42</v>
      </c>
      <c r="D373" s="1" t="s">
        <v>27</v>
      </c>
      <c r="E373" s="1" t="s">
        <v>21</v>
      </c>
      <c r="F373" s="1" t="s">
        <v>45</v>
      </c>
      <c r="G373" s="3">
        <v>6096</v>
      </c>
      <c r="H373">
        <v>2</v>
      </c>
      <c r="I373" s="3">
        <v>6096</v>
      </c>
      <c r="J373">
        <v>128016</v>
      </c>
      <c r="K373" t="str">
        <f t="shared" si="5"/>
        <v>janeiro</v>
      </c>
      <c r="L373" s="4">
        <v>43490</v>
      </c>
      <c r="M373" s="2">
        <v>0.81874999999999998</v>
      </c>
      <c r="N373" s="1" t="s">
        <v>32</v>
      </c>
      <c r="O373" s="3">
        <v>12192</v>
      </c>
      <c r="P373">
        <v>4761904762</v>
      </c>
      <c r="Q373" s="3">
        <v>6096</v>
      </c>
      <c r="R373">
        <v>49</v>
      </c>
      <c r="S373" s="3">
        <f>G373*SuperMarket_Analysis[[#This Row],[Quantity]]</f>
        <v>12192</v>
      </c>
    </row>
    <row r="374" spans="1:19" x14ac:dyDescent="0.25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3">
        <v>7011</v>
      </c>
      <c r="H374">
        <v>6</v>
      </c>
      <c r="I374" s="3">
        <v>21033</v>
      </c>
      <c r="J374">
        <v>441693</v>
      </c>
      <c r="K374" t="str">
        <f t="shared" si="5"/>
        <v>março</v>
      </c>
      <c r="L374" s="4">
        <v>43538</v>
      </c>
      <c r="M374" s="2">
        <v>0.74583333333333335</v>
      </c>
      <c r="N374" s="1" t="s">
        <v>23</v>
      </c>
      <c r="O374" s="3">
        <v>42066</v>
      </c>
      <c r="P374">
        <v>4761904762</v>
      </c>
      <c r="Q374" s="3">
        <v>21033</v>
      </c>
      <c r="R374">
        <v>52</v>
      </c>
      <c r="S374" s="3">
        <f>G374*SuperMarket_Analysis[[#This Row],[Quantity]]</f>
        <v>42066</v>
      </c>
    </row>
    <row r="375" spans="1:19" x14ac:dyDescent="0.25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177</v>
      </c>
      <c r="F375" s="1" t="s">
        <v>45</v>
      </c>
      <c r="G375" s="3">
        <v>4208</v>
      </c>
      <c r="H375">
        <v>6</v>
      </c>
      <c r="I375" s="3">
        <v>12624</v>
      </c>
      <c r="J375">
        <v>265104</v>
      </c>
      <c r="K375" t="str">
        <f t="shared" si="5"/>
        <v>janeiro</v>
      </c>
      <c r="L375" s="4">
        <v>43494</v>
      </c>
      <c r="M375" s="2">
        <v>0.51736111111111116</v>
      </c>
      <c r="N375" s="1" t="s">
        <v>29</v>
      </c>
      <c r="O375" s="3">
        <v>25248</v>
      </c>
      <c r="P375">
        <v>4761904762</v>
      </c>
      <c r="Q375" s="3">
        <v>12624</v>
      </c>
      <c r="R375">
        <v>89</v>
      </c>
      <c r="S375" s="3">
        <f>G375*SuperMarket_Analysis[[#This Row],[Quantity]]</f>
        <v>25248</v>
      </c>
    </row>
    <row r="376" spans="1:19" x14ac:dyDescent="0.25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3">
        <v>6709</v>
      </c>
      <c r="H376">
        <v>5</v>
      </c>
      <c r="I376" s="3">
        <v>167725</v>
      </c>
      <c r="J376">
        <v>3522225</v>
      </c>
      <c r="K376" t="str">
        <f t="shared" si="5"/>
        <v>janeiro</v>
      </c>
      <c r="L376" s="4">
        <v>43468</v>
      </c>
      <c r="M376" s="2">
        <v>0.69930555555555551</v>
      </c>
      <c r="N376" s="1" t="s">
        <v>32</v>
      </c>
      <c r="O376" s="3">
        <v>33545</v>
      </c>
      <c r="P376">
        <v>4761904762</v>
      </c>
      <c r="Q376" s="3">
        <v>167725</v>
      </c>
      <c r="R376">
        <v>91</v>
      </c>
      <c r="S376" s="3">
        <f>G376*SuperMarket_Analysis[[#This Row],[Quantity]]</f>
        <v>33545</v>
      </c>
    </row>
    <row r="377" spans="1:19" x14ac:dyDescent="0.25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45</v>
      </c>
      <c r="G377" s="3">
        <v>967</v>
      </c>
      <c r="H377">
        <v>5</v>
      </c>
      <c r="I377" s="3">
        <v>24175</v>
      </c>
      <c r="J377">
        <v>507675</v>
      </c>
      <c r="K377" t="str">
        <f t="shared" si="5"/>
        <v>janeiro</v>
      </c>
      <c r="L377" s="4">
        <v>43479</v>
      </c>
      <c r="M377" s="2">
        <v>0.53611111111111109</v>
      </c>
      <c r="N377" s="1" t="s">
        <v>23</v>
      </c>
      <c r="O377" s="3">
        <v>4835</v>
      </c>
      <c r="P377">
        <v>4761904762</v>
      </c>
      <c r="Q377" s="3">
        <v>24175</v>
      </c>
      <c r="R377">
        <v>7</v>
      </c>
      <c r="S377" s="3">
        <f>G377*SuperMarket_Analysis[[#This Row],[Quantity]]</f>
        <v>4835</v>
      </c>
    </row>
    <row r="378" spans="1:19" x14ac:dyDescent="0.25">
      <c r="A378" s="1" t="s">
        <v>412</v>
      </c>
      <c r="B378" s="1" t="s">
        <v>41</v>
      </c>
      <c r="C378" s="1" t="s">
        <v>42</v>
      </c>
      <c r="D378" s="1" t="s">
        <v>20</v>
      </c>
      <c r="E378" s="1" t="s">
        <v>21</v>
      </c>
      <c r="F378" s="1" t="s">
        <v>31</v>
      </c>
      <c r="G378" s="3">
        <v>3538</v>
      </c>
      <c r="H378">
        <v>9</v>
      </c>
      <c r="I378" s="3">
        <v>15921</v>
      </c>
      <c r="J378">
        <v>334341</v>
      </c>
      <c r="K378" t="str">
        <f t="shared" si="5"/>
        <v>janeiro</v>
      </c>
      <c r="L378" s="4">
        <v>43470</v>
      </c>
      <c r="M378" s="2">
        <v>0.82638888888888884</v>
      </c>
      <c r="N378" s="1" t="s">
        <v>32</v>
      </c>
      <c r="O378" s="3">
        <v>31842</v>
      </c>
      <c r="P378">
        <v>4761904762</v>
      </c>
      <c r="Q378" s="3">
        <v>15921</v>
      </c>
      <c r="R378">
        <v>96</v>
      </c>
      <c r="S378" s="3">
        <f>G378*SuperMarket_Analysis[[#This Row],[Quantity]]</f>
        <v>31842</v>
      </c>
    </row>
    <row r="379" spans="1:19" x14ac:dyDescent="0.25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177</v>
      </c>
      <c r="F379" s="1" t="s">
        <v>35</v>
      </c>
      <c r="G379" s="3">
        <v>9549</v>
      </c>
      <c r="H379">
        <v>7</v>
      </c>
      <c r="I379" s="3">
        <v>334215</v>
      </c>
      <c r="J379">
        <v>7018515</v>
      </c>
      <c r="K379" t="str">
        <f t="shared" si="5"/>
        <v>fevereiro</v>
      </c>
      <c r="L379" s="4">
        <v>43518</v>
      </c>
      <c r="M379" s="2">
        <v>0.76180555555555551</v>
      </c>
      <c r="N379" s="1" t="s">
        <v>23</v>
      </c>
      <c r="O379" s="3">
        <v>66843</v>
      </c>
      <c r="P379">
        <v>4761904762</v>
      </c>
      <c r="Q379" s="3">
        <v>334215</v>
      </c>
      <c r="R379">
        <v>87</v>
      </c>
      <c r="S379" s="3">
        <f>G379*SuperMarket_Analysis[[#This Row],[Quantity]]</f>
        <v>66843</v>
      </c>
    </row>
    <row r="380" spans="1:19" x14ac:dyDescent="0.25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177</v>
      </c>
      <c r="F380" s="1" t="s">
        <v>45</v>
      </c>
      <c r="G380" s="3">
        <v>9698</v>
      </c>
      <c r="H380">
        <v>4</v>
      </c>
      <c r="I380" s="3">
        <v>19396</v>
      </c>
      <c r="J380">
        <v>407316</v>
      </c>
      <c r="K380" t="str">
        <f t="shared" si="5"/>
        <v>fevereiro</v>
      </c>
      <c r="L380" s="4">
        <v>43502</v>
      </c>
      <c r="M380" s="2">
        <v>0.72222222222222221</v>
      </c>
      <c r="N380" s="1" t="s">
        <v>23</v>
      </c>
      <c r="O380" s="3">
        <v>38792</v>
      </c>
      <c r="P380">
        <v>4761904762</v>
      </c>
      <c r="Q380" s="3">
        <v>19396</v>
      </c>
      <c r="R380">
        <v>94</v>
      </c>
      <c r="S380" s="3">
        <f>G380*SuperMarket_Analysis[[#This Row],[Quantity]]</f>
        <v>38792</v>
      </c>
    </row>
    <row r="381" spans="1:19" x14ac:dyDescent="0.25">
      <c r="A381" s="1" t="s">
        <v>415</v>
      </c>
      <c r="B381" s="1" t="s">
        <v>41</v>
      </c>
      <c r="C381" s="1" t="s">
        <v>42</v>
      </c>
      <c r="D381" s="1" t="s">
        <v>27</v>
      </c>
      <c r="E381" s="1" t="s">
        <v>21</v>
      </c>
      <c r="F381" s="1" t="s">
        <v>28</v>
      </c>
      <c r="G381" s="3">
        <v>2365</v>
      </c>
      <c r="H381">
        <v>4</v>
      </c>
      <c r="I381" s="3">
        <v>473</v>
      </c>
      <c r="J381">
        <v>9933</v>
      </c>
      <c r="K381" t="str">
        <f t="shared" si="5"/>
        <v>janeiro</v>
      </c>
      <c r="L381" s="4">
        <v>43495</v>
      </c>
      <c r="M381" s="2">
        <v>0.56388888888888888</v>
      </c>
      <c r="N381" s="1" t="s">
        <v>32</v>
      </c>
      <c r="O381" s="3">
        <v>946</v>
      </c>
      <c r="P381">
        <v>4761904762</v>
      </c>
      <c r="Q381" s="3">
        <v>473</v>
      </c>
      <c r="R381">
        <v>4</v>
      </c>
      <c r="S381" s="3">
        <f>G381*SuperMarket_Analysis[[#This Row],[Quantity]]</f>
        <v>9460</v>
      </c>
    </row>
    <row r="382" spans="1:19" x14ac:dyDescent="0.25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177</v>
      </c>
      <c r="F382" s="1" t="s">
        <v>35</v>
      </c>
      <c r="G382" s="3">
        <v>8233</v>
      </c>
      <c r="H382">
        <v>4</v>
      </c>
      <c r="I382" s="3">
        <v>16466</v>
      </c>
      <c r="J382">
        <v>345786</v>
      </c>
      <c r="K382" t="str">
        <f t="shared" si="5"/>
        <v>janeiro</v>
      </c>
      <c r="L382" s="4">
        <v>43476</v>
      </c>
      <c r="M382" s="2">
        <v>0.44236111111111109</v>
      </c>
      <c r="N382" s="1" t="s">
        <v>32</v>
      </c>
      <c r="O382" s="3">
        <v>32932</v>
      </c>
      <c r="P382">
        <v>4761904762</v>
      </c>
      <c r="Q382" s="3">
        <v>16466</v>
      </c>
      <c r="R382">
        <v>75</v>
      </c>
      <c r="S382" s="3">
        <f>G382*SuperMarket_Analysis[[#This Row],[Quantity]]</f>
        <v>32932</v>
      </c>
    </row>
    <row r="383" spans="1:19" x14ac:dyDescent="0.25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3">
        <v>2661</v>
      </c>
      <c r="H383">
        <v>2</v>
      </c>
      <c r="I383" s="3">
        <v>2661</v>
      </c>
      <c r="J383">
        <v>55881</v>
      </c>
      <c r="K383" t="str">
        <f t="shared" si="5"/>
        <v>março</v>
      </c>
      <c r="L383" s="4">
        <v>43543</v>
      </c>
      <c r="M383" s="2">
        <v>0.60763888888888884</v>
      </c>
      <c r="N383" s="1" t="s">
        <v>29</v>
      </c>
      <c r="O383" s="3">
        <v>5322</v>
      </c>
      <c r="P383">
        <v>4761904762</v>
      </c>
      <c r="Q383" s="3">
        <v>2661</v>
      </c>
      <c r="R383">
        <v>42</v>
      </c>
      <c r="S383" s="3">
        <f>G383*SuperMarket_Analysis[[#This Row],[Quantity]]</f>
        <v>5322</v>
      </c>
    </row>
    <row r="384" spans="1:19" x14ac:dyDescent="0.25">
      <c r="A384" s="1" t="s">
        <v>418</v>
      </c>
      <c r="B384" s="1" t="s">
        <v>41</v>
      </c>
      <c r="C384" s="1" t="s">
        <v>42</v>
      </c>
      <c r="D384" s="1" t="s">
        <v>27</v>
      </c>
      <c r="E384" s="1" t="s">
        <v>21</v>
      </c>
      <c r="F384" s="1" t="s">
        <v>43</v>
      </c>
      <c r="G384" s="3">
        <v>9969</v>
      </c>
      <c r="H384">
        <v>5</v>
      </c>
      <c r="I384" s="3">
        <v>249225</v>
      </c>
      <c r="J384">
        <v>5233725</v>
      </c>
      <c r="K384" t="str">
        <f t="shared" si="5"/>
        <v>janeiro</v>
      </c>
      <c r="L384" s="4">
        <v>43479</v>
      </c>
      <c r="M384" s="2">
        <v>0.50624999999999998</v>
      </c>
      <c r="N384" s="1" t="s">
        <v>29</v>
      </c>
      <c r="O384" s="3">
        <v>49845</v>
      </c>
      <c r="P384">
        <v>4761904762</v>
      </c>
      <c r="Q384" s="3">
        <v>249225</v>
      </c>
      <c r="R384">
        <v>99</v>
      </c>
      <c r="S384" s="3">
        <f>G384*SuperMarket_Analysis[[#This Row],[Quantity]]</f>
        <v>49845</v>
      </c>
    </row>
    <row r="385" spans="1:19" x14ac:dyDescent="0.25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43</v>
      </c>
      <c r="G385" s="3">
        <v>7489</v>
      </c>
      <c r="H385">
        <v>4</v>
      </c>
      <c r="I385" s="3">
        <v>14978</v>
      </c>
      <c r="J385">
        <v>314538</v>
      </c>
      <c r="K385" t="str">
        <f t="shared" si="5"/>
        <v>março</v>
      </c>
      <c r="L385" s="4">
        <v>43525</v>
      </c>
      <c r="M385" s="2">
        <v>0.64722222222222225</v>
      </c>
      <c r="N385" s="1" t="s">
        <v>23</v>
      </c>
      <c r="O385" s="3">
        <v>29956</v>
      </c>
      <c r="P385">
        <v>4761904762</v>
      </c>
      <c r="Q385" s="3">
        <v>14978</v>
      </c>
      <c r="R385">
        <v>42</v>
      </c>
      <c r="S385" s="3">
        <f>G385*SuperMarket_Analysis[[#This Row],[Quantity]]</f>
        <v>29956</v>
      </c>
    </row>
    <row r="386" spans="1:19" x14ac:dyDescent="0.25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43</v>
      </c>
      <c r="G386" s="3">
        <v>4094</v>
      </c>
      <c r="H386">
        <v>5</v>
      </c>
      <c r="I386" s="3">
        <v>10235</v>
      </c>
      <c r="J386">
        <v>214935</v>
      </c>
      <c r="K386" t="str">
        <f t="shared" ref="K386:K449" si="6">TEXT(L386, "mmmm")</f>
        <v>janeiro</v>
      </c>
      <c r="L386" s="4">
        <v>43471</v>
      </c>
      <c r="M386" s="2">
        <v>0.58194444444444449</v>
      </c>
      <c r="N386" s="1" t="s">
        <v>23</v>
      </c>
      <c r="O386" s="3">
        <v>2047</v>
      </c>
      <c r="P386">
        <v>4761904762</v>
      </c>
      <c r="Q386" s="3">
        <v>10235</v>
      </c>
      <c r="R386">
        <v>99</v>
      </c>
      <c r="S386" s="3">
        <f>G386*SuperMarket_Analysis[[#This Row],[Quantity]]</f>
        <v>20470</v>
      </c>
    </row>
    <row r="387" spans="1:19" x14ac:dyDescent="0.25">
      <c r="A387" s="1" t="s">
        <v>421</v>
      </c>
      <c r="B387" s="1" t="s">
        <v>41</v>
      </c>
      <c r="C387" s="1" t="s">
        <v>42</v>
      </c>
      <c r="D387" s="1" t="s">
        <v>20</v>
      </c>
      <c r="E387" s="1" t="s">
        <v>177</v>
      </c>
      <c r="F387" s="1" t="s">
        <v>35</v>
      </c>
      <c r="G387" s="3">
        <v>7582</v>
      </c>
      <c r="H387">
        <v>1</v>
      </c>
      <c r="I387" s="3">
        <v>3791</v>
      </c>
      <c r="J387">
        <v>79611</v>
      </c>
      <c r="K387" t="str">
        <f t="shared" si="6"/>
        <v>janeiro</v>
      </c>
      <c r="L387" s="4">
        <v>43496</v>
      </c>
      <c r="M387" s="2">
        <v>0.55486111111111114</v>
      </c>
      <c r="N387" s="1" t="s">
        <v>29</v>
      </c>
      <c r="O387" s="3">
        <v>7582</v>
      </c>
      <c r="P387">
        <v>4761904762</v>
      </c>
      <c r="Q387" s="3">
        <v>3791</v>
      </c>
      <c r="R387">
        <v>58</v>
      </c>
      <c r="S387" s="3">
        <f>G387*SuperMarket_Analysis[[#This Row],[Quantity]]</f>
        <v>7582</v>
      </c>
    </row>
    <row r="388" spans="1:19" x14ac:dyDescent="0.25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177</v>
      </c>
      <c r="F388" s="1" t="s">
        <v>43</v>
      </c>
      <c r="G388" s="3">
        <v>4677</v>
      </c>
      <c r="H388">
        <v>6</v>
      </c>
      <c r="I388" s="3">
        <v>14031</v>
      </c>
      <c r="J388">
        <v>294651</v>
      </c>
      <c r="K388" t="str">
        <f t="shared" si="6"/>
        <v>março</v>
      </c>
      <c r="L388" s="4">
        <v>43535</v>
      </c>
      <c r="M388" s="2">
        <v>0.56736111111111109</v>
      </c>
      <c r="N388" s="1" t="s">
        <v>29</v>
      </c>
      <c r="O388" s="3">
        <v>28062</v>
      </c>
      <c r="P388">
        <v>4761904762</v>
      </c>
      <c r="Q388" s="3">
        <v>14031</v>
      </c>
      <c r="R388">
        <v>6</v>
      </c>
      <c r="S388" s="3">
        <f>G388*SuperMarket_Analysis[[#This Row],[Quantity]]</f>
        <v>28062</v>
      </c>
    </row>
    <row r="389" spans="1:19" x14ac:dyDescent="0.25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3">
        <v>3232</v>
      </c>
      <c r="H389">
        <v>10</v>
      </c>
      <c r="I389" s="3">
        <v>1616</v>
      </c>
      <c r="J389">
        <v>33936</v>
      </c>
      <c r="K389" t="str">
        <f t="shared" si="6"/>
        <v>fevereiro</v>
      </c>
      <c r="L389" s="4">
        <v>43516</v>
      </c>
      <c r="M389" s="2">
        <v>0.7006944444444444</v>
      </c>
      <c r="N389" s="1" t="s">
        <v>32</v>
      </c>
      <c r="O389" s="3">
        <v>3232</v>
      </c>
      <c r="P389">
        <v>4761904762</v>
      </c>
      <c r="Q389" s="3">
        <v>1616</v>
      </c>
      <c r="R389">
        <v>10</v>
      </c>
      <c r="S389" s="3">
        <f>G389*SuperMarket_Analysis[[#This Row],[Quantity]]</f>
        <v>32320</v>
      </c>
    </row>
    <row r="390" spans="1:19" x14ac:dyDescent="0.25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45</v>
      </c>
      <c r="G390" s="3">
        <v>5407</v>
      </c>
      <c r="H390">
        <v>9</v>
      </c>
      <c r="I390" s="3">
        <v>243315</v>
      </c>
      <c r="J390">
        <v>5109615</v>
      </c>
      <c r="K390" t="str">
        <f t="shared" si="6"/>
        <v>janeiro</v>
      </c>
      <c r="L390" s="4">
        <v>43492</v>
      </c>
      <c r="M390" s="2">
        <v>0.62152777777777779</v>
      </c>
      <c r="N390" s="1" t="s">
        <v>23</v>
      </c>
      <c r="O390" s="3">
        <v>48663</v>
      </c>
      <c r="P390">
        <v>4761904762</v>
      </c>
      <c r="Q390" s="3">
        <v>243315</v>
      </c>
      <c r="R390">
        <v>95</v>
      </c>
      <c r="S390" s="3">
        <f>G390*SuperMarket_Analysis[[#This Row],[Quantity]]</f>
        <v>48663</v>
      </c>
    </row>
    <row r="391" spans="1:19" x14ac:dyDescent="0.25">
      <c r="A391" s="1" t="s">
        <v>425</v>
      </c>
      <c r="B391" s="1" t="s">
        <v>41</v>
      </c>
      <c r="C391" s="1" t="s">
        <v>42</v>
      </c>
      <c r="D391" s="1" t="s">
        <v>27</v>
      </c>
      <c r="E391" s="1" t="s">
        <v>177</v>
      </c>
      <c r="F391" s="1" t="s">
        <v>43</v>
      </c>
      <c r="G391" s="3">
        <v>1822</v>
      </c>
      <c r="H391">
        <v>7</v>
      </c>
      <c r="I391" s="3">
        <v>6377</v>
      </c>
      <c r="J391">
        <v>133917</v>
      </c>
      <c r="K391" t="str">
        <f t="shared" si="6"/>
        <v>março</v>
      </c>
      <c r="L391" s="4">
        <v>43534</v>
      </c>
      <c r="M391" s="2">
        <v>0.58611111111111114</v>
      </c>
      <c r="N391" s="1" t="s">
        <v>32</v>
      </c>
      <c r="O391" s="3">
        <v>12754</v>
      </c>
      <c r="P391">
        <v>4761904762</v>
      </c>
      <c r="Q391" s="3">
        <v>6377</v>
      </c>
      <c r="R391">
        <v>66</v>
      </c>
      <c r="S391" s="3">
        <f>G391*SuperMarket_Analysis[[#This Row],[Quantity]]</f>
        <v>12754</v>
      </c>
    </row>
    <row r="392" spans="1:19" x14ac:dyDescent="0.25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45</v>
      </c>
      <c r="G392" s="3">
        <v>8048</v>
      </c>
      <c r="H392">
        <v>3</v>
      </c>
      <c r="I392" s="3">
        <v>12072</v>
      </c>
      <c r="J392">
        <v>253512</v>
      </c>
      <c r="K392" t="str">
        <f t="shared" si="6"/>
        <v>fevereiro</v>
      </c>
      <c r="L392" s="4">
        <v>43511</v>
      </c>
      <c r="M392" s="2">
        <v>0.52152777777777781</v>
      </c>
      <c r="N392" s="1" t="s">
        <v>29</v>
      </c>
      <c r="O392" s="3">
        <v>24144</v>
      </c>
      <c r="P392">
        <v>4761904762</v>
      </c>
      <c r="Q392" s="3">
        <v>12072</v>
      </c>
      <c r="R392">
        <v>81</v>
      </c>
      <c r="S392" s="3">
        <f>G392*SuperMarket_Analysis[[#This Row],[Quantity]]</f>
        <v>24144</v>
      </c>
    </row>
    <row r="393" spans="1:19" x14ac:dyDescent="0.25">
      <c r="A393" s="1" t="s">
        <v>427</v>
      </c>
      <c r="B393" s="1" t="s">
        <v>41</v>
      </c>
      <c r="C393" s="1" t="s">
        <v>42</v>
      </c>
      <c r="D393" s="1" t="s">
        <v>27</v>
      </c>
      <c r="E393" s="1" t="s">
        <v>21</v>
      </c>
      <c r="F393" s="1" t="s">
        <v>45</v>
      </c>
      <c r="G393" s="3">
        <v>3795</v>
      </c>
      <c r="H393">
        <v>10</v>
      </c>
      <c r="I393" s="3">
        <v>18975</v>
      </c>
      <c r="J393">
        <v>398475</v>
      </c>
      <c r="K393" t="str">
        <f t="shared" si="6"/>
        <v>janeiro</v>
      </c>
      <c r="L393" s="4">
        <v>43491</v>
      </c>
      <c r="M393" s="2">
        <v>0.61875000000000002</v>
      </c>
      <c r="N393" s="1" t="s">
        <v>29</v>
      </c>
      <c r="O393" s="3">
        <v>3795</v>
      </c>
      <c r="P393">
        <v>4761904762</v>
      </c>
      <c r="Q393" s="3">
        <v>18975</v>
      </c>
      <c r="R393">
        <v>97</v>
      </c>
      <c r="S393" s="3">
        <f>G393*SuperMarket_Analysis[[#This Row],[Quantity]]</f>
        <v>37950</v>
      </c>
    </row>
    <row r="394" spans="1:19" x14ac:dyDescent="0.25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177</v>
      </c>
      <c r="F394" s="1" t="s">
        <v>28</v>
      </c>
      <c r="G394" s="3">
        <v>7682</v>
      </c>
      <c r="H394">
        <v>1</v>
      </c>
      <c r="I394" s="3">
        <v>3841</v>
      </c>
      <c r="J394">
        <v>80661</v>
      </c>
      <c r="K394" t="str">
        <f t="shared" si="6"/>
        <v>fevereiro</v>
      </c>
      <c r="L394" s="4">
        <v>43509</v>
      </c>
      <c r="M394" s="2">
        <v>0.76875000000000004</v>
      </c>
      <c r="N394" s="1" t="s">
        <v>23</v>
      </c>
      <c r="O394" s="3">
        <v>7682</v>
      </c>
      <c r="P394">
        <v>4761904762</v>
      </c>
      <c r="Q394" s="3">
        <v>3841</v>
      </c>
      <c r="R394">
        <v>72</v>
      </c>
      <c r="S394" s="3">
        <f>G394*SuperMarket_Analysis[[#This Row],[Quantity]]</f>
        <v>7682</v>
      </c>
    </row>
    <row r="395" spans="1:19" x14ac:dyDescent="0.25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35</v>
      </c>
      <c r="G395" s="3">
        <v>5226</v>
      </c>
      <c r="H395">
        <v>10</v>
      </c>
      <c r="I395" s="3">
        <v>2613</v>
      </c>
      <c r="J395">
        <v>54873</v>
      </c>
      <c r="K395" t="str">
        <f t="shared" si="6"/>
        <v>março</v>
      </c>
      <c r="L395" s="4">
        <v>43533</v>
      </c>
      <c r="M395" s="2">
        <v>0.53125</v>
      </c>
      <c r="N395" s="1" t="s">
        <v>32</v>
      </c>
      <c r="O395" s="3">
        <v>5226</v>
      </c>
      <c r="P395">
        <v>4761904762</v>
      </c>
      <c r="Q395" s="3">
        <v>2613</v>
      </c>
      <c r="R395">
        <v>62</v>
      </c>
      <c r="S395" s="3">
        <f>G395*SuperMarket_Analysis[[#This Row],[Quantity]]</f>
        <v>52260</v>
      </c>
    </row>
    <row r="396" spans="1:19" x14ac:dyDescent="0.25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3">
        <v>7974</v>
      </c>
      <c r="H396">
        <v>1</v>
      </c>
      <c r="I396" s="3">
        <v>3987</v>
      </c>
      <c r="J396">
        <v>83727</v>
      </c>
      <c r="K396" t="str">
        <f t="shared" si="6"/>
        <v>março</v>
      </c>
      <c r="L396" s="4">
        <v>43530</v>
      </c>
      <c r="M396" s="2">
        <v>0.44166666666666665</v>
      </c>
      <c r="N396" s="1" t="s">
        <v>23</v>
      </c>
      <c r="O396" s="3">
        <v>7974</v>
      </c>
      <c r="P396">
        <v>4761904762</v>
      </c>
      <c r="Q396" s="3">
        <v>3987</v>
      </c>
      <c r="R396">
        <v>73</v>
      </c>
      <c r="S396" s="3">
        <f>G396*SuperMarket_Analysis[[#This Row],[Quantity]]</f>
        <v>7974</v>
      </c>
    </row>
    <row r="397" spans="1:19" x14ac:dyDescent="0.25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3">
        <v>775</v>
      </c>
      <c r="H397">
        <v>5</v>
      </c>
      <c r="I397" s="3">
        <v>19375</v>
      </c>
      <c r="J397">
        <v>406875</v>
      </c>
      <c r="K397" t="str">
        <f t="shared" si="6"/>
        <v>janeiro</v>
      </c>
      <c r="L397" s="4">
        <v>43489</v>
      </c>
      <c r="M397" s="2">
        <v>0.85833333333333328</v>
      </c>
      <c r="N397" s="1" t="s">
        <v>23</v>
      </c>
      <c r="O397" s="3">
        <v>3875</v>
      </c>
      <c r="P397">
        <v>4761904762</v>
      </c>
      <c r="Q397" s="3">
        <v>19375</v>
      </c>
      <c r="R397">
        <v>43</v>
      </c>
      <c r="S397" s="3">
        <f>G397*SuperMarket_Analysis[[#This Row],[Quantity]]</f>
        <v>3875</v>
      </c>
    </row>
    <row r="398" spans="1:19" x14ac:dyDescent="0.25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43</v>
      </c>
      <c r="G398" s="3">
        <v>5427</v>
      </c>
      <c r="H398">
        <v>5</v>
      </c>
      <c r="I398" s="3">
        <v>135675</v>
      </c>
      <c r="J398">
        <v>2849175</v>
      </c>
      <c r="K398" t="str">
        <f t="shared" si="6"/>
        <v>março</v>
      </c>
      <c r="L398" s="4">
        <v>43537</v>
      </c>
      <c r="M398" s="2">
        <v>0.59444444444444444</v>
      </c>
      <c r="N398" s="1" t="s">
        <v>23</v>
      </c>
      <c r="O398" s="3">
        <v>27135</v>
      </c>
      <c r="P398">
        <v>4761904762</v>
      </c>
      <c r="Q398" s="3">
        <v>135675</v>
      </c>
      <c r="R398">
        <v>46</v>
      </c>
      <c r="S398" s="3">
        <f>G398*SuperMarket_Analysis[[#This Row],[Quantity]]</f>
        <v>27135</v>
      </c>
    </row>
    <row r="399" spans="1:19" x14ac:dyDescent="0.25">
      <c r="A399" s="1" t="s">
        <v>433</v>
      </c>
      <c r="B399" s="1" t="s">
        <v>41</v>
      </c>
      <c r="C399" s="1" t="s">
        <v>42</v>
      </c>
      <c r="D399" s="1" t="s">
        <v>27</v>
      </c>
      <c r="E399" s="1" t="s">
        <v>177</v>
      </c>
      <c r="F399" s="1" t="s">
        <v>31</v>
      </c>
      <c r="G399" s="3">
        <v>1359</v>
      </c>
      <c r="H399">
        <v>9</v>
      </c>
      <c r="I399" s="3">
        <v>61155</v>
      </c>
      <c r="J399">
        <v>1284255</v>
      </c>
      <c r="K399" t="str">
        <f t="shared" si="6"/>
        <v>março</v>
      </c>
      <c r="L399" s="4">
        <v>43539</v>
      </c>
      <c r="M399" s="2">
        <v>0.43472222222222223</v>
      </c>
      <c r="N399" s="1" t="s">
        <v>29</v>
      </c>
      <c r="O399" s="3">
        <v>12231</v>
      </c>
      <c r="P399">
        <v>4761904762</v>
      </c>
      <c r="Q399" s="3">
        <v>61155</v>
      </c>
      <c r="R399">
        <v>58</v>
      </c>
      <c r="S399" s="3">
        <f>G399*SuperMarket_Analysis[[#This Row],[Quantity]]</f>
        <v>12231</v>
      </c>
    </row>
    <row r="400" spans="1:19" x14ac:dyDescent="0.25">
      <c r="A400" s="1" t="s">
        <v>434</v>
      </c>
      <c r="B400" s="1" t="s">
        <v>41</v>
      </c>
      <c r="C400" s="1" t="s">
        <v>42</v>
      </c>
      <c r="D400" s="1" t="s">
        <v>20</v>
      </c>
      <c r="E400" s="1" t="s">
        <v>21</v>
      </c>
      <c r="F400" s="1" t="s">
        <v>22</v>
      </c>
      <c r="G400" s="3">
        <v>4106</v>
      </c>
      <c r="H400">
        <v>6</v>
      </c>
      <c r="I400" s="3">
        <v>12318</v>
      </c>
      <c r="J400">
        <v>258678</v>
      </c>
      <c r="K400" t="str">
        <f t="shared" si="6"/>
        <v>março</v>
      </c>
      <c r="L400" s="4">
        <v>43529</v>
      </c>
      <c r="M400" s="2">
        <v>0.5625</v>
      </c>
      <c r="N400" s="1" t="s">
        <v>32</v>
      </c>
      <c r="O400" s="3">
        <v>24636</v>
      </c>
      <c r="P400">
        <v>4761904762</v>
      </c>
      <c r="Q400" s="3">
        <v>12318</v>
      </c>
      <c r="R400">
        <v>83</v>
      </c>
      <c r="S400" s="3">
        <f>G400*SuperMarket_Analysis[[#This Row],[Quantity]]</f>
        <v>24636</v>
      </c>
    </row>
    <row r="401" spans="1:19" x14ac:dyDescent="0.25">
      <c r="A401" s="1" t="s">
        <v>435</v>
      </c>
      <c r="B401" s="1" t="s">
        <v>41</v>
      </c>
      <c r="C401" s="1" t="s">
        <v>42</v>
      </c>
      <c r="D401" s="1" t="s">
        <v>20</v>
      </c>
      <c r="E401" s="1" t="s">
        <v>177</v>
      </c>
      <c r="F401" s="1" t="s">
        <v>28</v>
      </c>
      <c r="G401" s="3">
        <v>1924</v>
      </c>
      <c r="H401">
        <v>9</v>
      </c>
      <c r="I401" s="3">
        <v>8658</v>
      </c>
      <c r="J401">
        <v>181818</v>
      </c>
      <c r="K401" t="str">
        <f t="shared" si="6"/>
        <v>março</v>
      </c>
      <c r="L401" s="4">
        <v>43528</v>
      </c>
      <c r="M401" s="2">
        <v>0.68611111111111112</v>
      </c>
      <c r="N401" s="1" t="s">
        <v>29</v>
      </c>
      <c r="O401" s="3">
        <v>17316</v>
      </c>
      <c r="P401">
        <v>4761904762</v>
      </c>
      <c r="Q401" s="3">
        <v>8658</v>
      </c>
      <c r="R401">
        <v>8</v>
      </c>
      <c r="S401" s="3">
        <f>G401*SuperMarket_Analysis[[#This Row],[Quantity]]</f>
        <v>17316</v>
      </c>
    </row>
    <row r="402" spans="1:19" x14ac:dyDescent="0.25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43</v>
      </c>
      <c r="G402" s="3">
        <v>3943</v>
      </c>
      <c r="H402">
        <v>6</v>
      </c>
      <c r="I402" s="3">
        <v>11829</v>
      </c>
      <c r="J402">
        <v>248409</v>
      </c>
      <c r="K402" t="str">
        <f t="shared" si="6"/>
        <v>março</v>
      </c>
      <c r="L402" s="4">
        <v>43549</v>
      </c>
      <c r="M402" s="2">
        <v>0.84583333333333333</v>
      </c>
      <c r="N402" s="1" t="s">
        <v>32</v>
      </c>
      <c r="O402" s="3">
        <v>23658</v>
      </c>
      <c r="P402">
        <v>4761904762</v>
      </c>
      <c r="Q402" s="3">
        <v>11829</v>
      </c>
      <c r="R402">
        <v>94</v>
      </c>
      <c r="S402" s="3">
        <f>G402*SuperMarket_Analysis[[#This Row],[Quantity]]</f>
        <v>23658</v>
      </c>
    </row>
    <row r="403" spans="1:19" x14ac:dyDescent="0.25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177</v>
      </c>
      <c r="F403" s="1" t="s">
        <v>31</v>
      </c>
      <c r="G403" s="3">
        <v>4622</v>
      </c>
      <c r="H403">
        <v>4</v>
      </c>
      <c r="I403" s="3">
        <v>9244</v>
      </c>
      <c r="J403">
        <v>194124</v>
      </c>
      <c r="K403" t="str">
        <f t="shared" si="6"/>
        <v>março</v>
      </c>
      <c r="L403" s="4">
        <v>43536</v>
      </c>
      <c r="M403" s="2">
        <v>0.83611111111111114</v>
      </c>
      <c r="N403" s="1" t="s">
        <v>32</v>
      </c>
      <c r="O403" s="3">
        <v>18488</v>
      </c>
      <c r="P403">
        <v>4761904762</v>
      </c>
      <c r="Q403" s="3">
        <v>9244</v>
      </c>
      <c r="R403">
        <v>62</v>
      </c>
      <c r="S403" s="3">
        <f>G403*SuperMarket_Analysis[[#This Row],[Quantity]]</f>
        <v>18488</v>
      </c>
    </row>
    <row r="404" spans="1:19" x14ac:dyDescent="0.25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177</v>
      </c>
      <c r="F404" s="1" t="s">
        <v>31</v>
      </c>
      <c r="G404" s="3">
        <v>1398</v>
      </c>
      <c r="H404">
        <v>1</v>
      </c>
      <c r="I404" s="3">
        <v>699</v>
      </c>
      <c r="J404">
        <v>14679</v>
      </c>
      <c r="K404" t="str">
        <f t="shared" si="6"/>
        <v>fevereiro</v>
      </c>
      <c r="L404" s="4">
        <v>43500</v>
      </c>
      <c r="M404" s="2">
        <v>0.56805555555555554</v>
      </c>
      <c r="N404" s="1" t="s">
        <v>23</v>
      </c>
      <c r="O404" s="3">
        <v>1398</v>
      </c>
      <c r="P404">
        <v>4761904762</v>
      </c>
      <c r="Q404" s="3">
        <v>699</v>
      </c>
      <c r="R404">
        <v>98</v>
      </c>
      <c r="S404" s="3">
        <f>G404*SuperMarket_Analysis[[#This Row],[Quantity]]</f>
        <v>1398</v>
      </c>
    </row>
    <row r="405" spans="1:19" x14ac:dyDescent="0.25">
      <c r="A405" s="1" t="s">
        <v>439</v>
      </c>
      <c r="B405" s="1" t="s">
        <v>41</v>
      </c>
      <c r="C405" s="1" t="s">
        <v>42</v>
      </c>
      <c r="D405" s="1" t="s">
        <v>27</v>
      </c>
      <c r="E405" s="1" t="s">
        <v>21</v>
      </c>
      <c r="F405" s="1" t="s">
        <v>45</v>
      </c>
      <c r="G405" s="3">
        <v>3975</v>
      </c>
      <c r="H405">
        <v>5</v>
      </c>
      <c r="I405" s="3">
        <v>99375</v>
      </c>
      <c r="J405">
        <v>2086875</v>
      </c>
      <c r="K405" t="str">
        <f t="shared" si="6"/>
        <v>fevereiro</v>
      </c>
      <c r="L405" s="4">
        <v>43518</v>
      </c>
      <c r="M405" s="2">
        <v>0.4465277777777778</v>
      </c>
      <c r="N405" s="1" t="s">
        <v>23</v>
      </c>
      <c r="O405" s="3">
        <v>19875</v>
      </c>
      <c r="P405">
        <v>4761904762</v>
      </c>
      <c r="Q405" s="3">
        <v>99375</v>
      </c>
      <c r="R405">
        <v>96</v>
      </c>
      <c r="S405" s="3">
        <f>G405*SuperMarket_Analysis[[#This Row],[Quantity]]</f>
        <v>19875</v>
      </c>
    </row>
    <row r="406" spans="1:19" x14ac:dyDescent="0.25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45</v>
      </c>
      <c r="G406" s="3">
        <v>9779</v>
      </c>
      <c r="H406">
        <v>7</v>
      </c>
      <c r="I406" s="3">
        <v>342265</v>
      </c>
      <c r="J406">
        <v>7187565</v>
      </c>
      <c r="K406" t="str">
        <f t="shared" si="6"/>
        <v>fevereiro</v>
      </c>
      <c r="L406" s="4">
        <v>43512</v>
      </c>
      <c r="M406" s="2">
        <v>0.72916666666666663</v>
      </c>
      <c r="N406" s="1" t="s">
        <v>23</v>
      </c>
      <c r="O406" s="3">
        <v>68453</v>
      </c>
      <c r="P406">
        <v>4761904762</v>
      </c>
      <c r="Q406" s="3">
        <v>342265</v>
      </c>
      <c r="R406">
        <v>49</v>
      </c>
      <c r="S406" s="3">
        <f>G406*SuperMarket_Analysis[[#This Row],[Quantity]]</f>
        <v>68453</v>
      </c>
    </row>
    <row r="407" spans="1:19" x14ac:dyDescent="0.25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177</v>
      </c>
      <c r="F407" s="1" t="s">
        <v>35</v>
      </c>
      <c r="G407" s="3">
        <v>6726</v>
      </c>
      <c r="H407">
        <v>4</v>
      </c>
      <c r="I407" s="3">
        <v>13452</v>
      </c>
      <c r="J407">
        <v>282492</v>
      </c>
      <c r="K407" t="str">
        <f t="shared" si="6"/>
        <v>janeiro</v>
      </c>
      <c r="L407" s="4">
        <v>43484</v>
      </c>
      <c r="M407" s="2">
        <v>0.64444444444444449</v>
      </c>
      <c r="N407" s="1" t="s">
        <v>32</v>
      </c>
      <c r="O407" s="3">
        <v>26904</v>
      </c>
      <c r="P407">
        <v>4761904762</v>
      </c>
      <c r="Q407" s="3">
        <v>13452</v>
      </c>
      <c r="R407">
        <v>8</v>
      </c>
      <c r="S407" s="3">
        <f>G407*SuperMarket_Analysis[[#This Row],[Quantity]]</f>
        <v>26904</v>
      </c>
    </row>
    <row r="408" spans="1:19" x14ac:dyDescent="0.25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177</v>
      </c>
      <c r="F408" s="1" t="s">
        <v>43</v>
      </c>
      <c r="G408" s="3">
        <v>1379</v>
      </c>
      <c r="H408">
        <v>5</v>
      </c>
      <c r="I408" s="3">
        <v>34475</v>
      </c>
      <c r="J408">
        <v>723975</v>
      </c>
      <c r="K408" t="str">
        <f t="shared" si="6"/>
        <v>janeiro</v>
      </c>
      <c r="L408" s="4">
        <v>43476</v>
      </c>
      <c r="M408" s="2">
        <v>0.79652777777777772</v>
      </c>
      <c r="N408" s="1" t="s">
        <v>32</v>
      </c>
      <c r="O408" s="3">
        <v>6895</v>
      </c>
      <c r="P408">
        <v>4761904762</v>
      </c>
      <c r="Q408" s="3">
        <v>34475</v>
      </c>
      <c r="R408">
        <v>78</v>
      </c>
      <c r="S408" s="3">
        <f>G408*SuperMarket_Analysis[[#This Row],[Quantity]]</f>
        <v>6895</v>
      </c>
    </row>
    <row r="409" spans="1:19" x14ac:dyDescent="0.25">
      <c r="A409" s="1" t="s">
        <v>443</v>
      </c>
      <c r="B409" s="1" t="s">
        <v>41</v>
      </c>
      <c r="C409" s="1" t="s">
        <v>42</v>
      </c>
      <c r="D409" s="1" t="s">
        <v>20</v>
      </c>
      <c r="E409" s="1" t="s">
        <v>21</v>
      </c>
      <c r="F409" s="1" t="s">
        <v>45</v>
      </c>
      <c r="G409" s="3">
        <v>6871</v>
      </c>
      <c r="H409">
        <v>4</v>
      </c>
      <c r="I409" s="3">
        <v>13742</v>
      </c>
      <c r="J409">
        <v>288582</v>
      </c>
      <c r="K409" t="str">
        <f t="shared" si="6"/>
        <v>janeiro</v>
      </c>
      <c r="L409" s="4">
        <v>43469</v>
      </c>
      <c r="M409" s="2">
        <v>0.79236111111111107</v>
      </c>
      <c r="N409" s="1" t="s">
        <v>29</v>
      </c>
      <c r="O409" s="3">
        <v>27484</v>
      </c>
      <c r="P409">
        <v>4761904762</v>
      </c>
      <c r="Q409" s="3">
        <v>13742</v>
      </c>
      <c r="R409">
        <v>41</v>
      </c>
      <c r="S409" s="3">
        <f>G409*SuperMarket_Analysis[[#This Row],[Quantity]]</f>
        <v>27484</v>
      </c>
    </row>
    <row r="410" spans="1:19" x14ac:dyDescent="0.25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3">
        <v>5653</v>
      </c>
      <c r="H410">
        <v>4</v>
      </c>
      <c r="I410" s="3">
        <v>11306</v>
      </c>
      <c r="J410">
        <v>237426</v>
      </c>
      <c r="K410" t="str">
        <f t="shared" si="6"/>
        <v>março</v>
      </c>
      <c r="L410" s="4">
        <v>43528</v>
      </c>
      <c r="M410" s="2">
        <v>0.82499999999999996</v>
      </c>
      <c r="N410" s="1" t="s">
        <v>23</v>
      </c>
      <c r="O410" s="3">
        <v>22612</v>
      </c>
      <c r="P410">
        <v>4761904762</v>
      </c>
      <c r="Q410" s="3">
        <v>11306</v>
      </c>
      <c r="R410">
        <v>55</v>
      </c>
      <c r="S410" s="3">
        <f>G410*SuperMarket_Analysis[[#This Row],[Quantity]]</f>
        <v>22612</v>
      </c>
    </row>
    <row r="411" spans="1:19" x14ac:dyDescent="0.25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45</v>
      </c>
      <c r="G411" s="3">
        <v>2382</v>
      </c>
      <c r="H411">
        <v>5</v>
      </c>
      <c r="I411" s="3">
        <v>5955</v>
      </c>
      <c r="J411">
        <v>125055</v>
      </c>
      <c r="K411" t="str">
        <f t="shared" si="6"/>
        <v>janeiro</v>
      </c>
      <c r="L411" s="4">
        <v>43493</v>
      </c>
      <c r="M411" s="2">
        <v>0.80833333333333335</v>
      </c>
      <c r="N411" s="1" t="s">
        <v>23</v>
      </c>
      <c r="O411" s="3">
        <v>1191</v>
      </c>
      <c r="P411">
        <v>4761904762</v>
      </c>
      <c r="Q411" s="3">
        <v>5955</v>
      </c>
      <c r="R411">
        <v>54</v>
      </c>
      <c r="S411" s="3">
        <f>G411*SuperMarket_Analysis[[#This Row],[Quantity]]</f>
        <v>11910</v>
      </c>
    </row>
    <row r="412" spans="1:19" x14ac:dyDescent="0.25">
      <c r="A412" s="1" t="s">
        <v>446</v>
      </c>
      <c r="B412" s="1" t="s">
        <v>41</v>
      </c>
      <c r="C412" s="1" t="s">
        <v>42</v>
      </c>
      <c r="D412" s="1" t="s">
        <v>27</v>
      </c>
      <c r="E412" s="1" t="s">
        <v>21</v>
      </c>
      <c r="F412" s="1" t="s">
        <v>22</v>
      </c>
      <c r="G412" s="3">
        <v>3421</v>
      </c>
      <c r="H412">
        <v>10</v>
      </c>
      <c r="I412" s="3">
        <v>17105</v>
      </c>
      <c r="J412">
        <v>359205</v>
      </c>
      <c r="K412" t="str">
        <f t="shared" si="6"/>
        <v>janeiro</v>
      </c>
      <c r="L412" s="4">
        <v>43467</v>
      </c>
      <c r="M412" s="2">
        <v>0.54166666666666663</v>
      </c>
      <c r="N412" s="1" t="s">
        <v>29</v>
      </c>
      <c r="O412" s="3">
        <v>3421</v>
      </c>
      <c r="P412">
        <v>4761904762</v>
      </c>
      <c r="Q412" s="3">
        <v>17105</v>
      </c>
      <c r="R412">
        <v>51</v>
      </c>
      <c r="S412" s="3">
        <f>G412*SuperMarket_Analysis[[#This Row],[Quantity]]</f>
        <v>34210</v>
      </c>
    </row>
    <row r="413" spans="1:19" x14ac:dyDescent="0.25">
      <c r="A413" s="1" t="s">
        <v>447</v>
      </c>
      <c r="B413" s="1" t="s">
        <v>41</v>
      </c>
      <c r="C413" s="1" t="s">
        <v>42</v>
      </c>
      <c r="D413" s="1" t="s">
        <v>27</v>
      </c>
      <c r="E413" s="1" t="s">
        <v>177</v>
      </c>
      <c r="F413" s="1" t="s">
        <v>35</v>
      </c>
      <c r="G413" s="3">
        <v>2187</v>
      </c>
      <c r="H413">
        <v>2</v>
      </c>
      <c r="I413" s="3">
        <v>2187</v>
      </c>
      <c r="J413">
        <v>45927</v>
      </c>
      <c r="K413" t="str">
        <f t="shared" si="6"/>
        <v>janeiro</v>
      </c>
      <c r="L413" s="4">
        <v>43490</v>
      </c>
      <c r="M413" s="2">
        <v>0.60347222222222219</v>
      </c>
      <c r="N413" s="1" t="s">
        <v>23</v>
      </c>
      <c r="O413" s="3">
        <v>4374</v>
      </c>
      <c r="P413">
        <v>4761904762</v>
      </c>
      <c r="Q413" s="3">
        <v>2187</v>
      </c>
      <c r="R413">
        <v>69</v>
      </c>
      <c r="S413" s="3">
        <f>G413*SuperMarket_Analysis[[#This Row],[Quantity]]</f>
        <v>4374</v>
      </c>
    </row>
    <row r="414" spans="1:19" x14ac:dyDescent="0.25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177</v>
      </c>
      <c r="F414" s="1" t="s">
        <v>22</v>
      </c>
      <c r="G414" s="3">
        <v>2097</v>
      </c>
      <c r="H414">
        <v>5</v>
      </c>
      <c r="I414" s="3">
        <v>52425</v>
      </c>
      <c r="J414">
        <v>1100925</v>
      </c>
      <c r="K414" t="str">
        <f t="shared" si="6"/>
        <v>janeiro</v>
      </c>
      <c r="L414" s="4">
        <v>43469</v>
      </c>
      <c r="M414" s="2">
        <v>0.55625000000000002</v>
      </c>
      <c r="N414" s="1" t="s">
        <v>29</v>
      </c>
      <c r="O414" s="3">
        <v>10485</v>
      </c>
      <c r="P414">
        <v>4761904762</v>
      </c>
      <c r="Q414" s="3">
        <v>52425</v>
      </c>
      <c r="R414">
        <v>78</v>
      </c>
      <c r="S414" s="3">
        <f>G414*SuperMarket_Analysis[[#This Row],[Quantity]]</f>
        <v>10485</v>
      </c>
    </row>
    <row r="415" spans="1:19" x14ac:dyDescent="0.25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177</v>
      </c>
      <c r="F415" s="1" t="s">
        <v>35</v>
      </c>
      <c r="G415" s="3">
        <v>2584</v>
      </c>
      <c r="H415">
        <v>3</v>
      </c>
      <c r="I415" s="3">
        <v>3876</v>
      </c>
      <c r="J415">
        <v>81396</v>
      </c>
      <c r="K415" t="str">
        <f t="shared" si="6"/>
        <v>março</v>
      </c>
      <c r="L415" s="4">
        <v>43534</v>
      </c>
      <c r="M415" s="2">
        <v>0.78819444444444442</v>
      </c>
      <c r="N415" s="1" t="s">
        <v>23</v>
      </c>
      <c r="O415" s="3">
        <v>7752</v>
      </c>
      <c r="P415">
        <v>4761904762</v>
      </c>
      <c r="Q415" s="3">
        <v>3876</v>
      </c>
      <c r="R415">
        <v>66</v>
      </c>
      <c r="S415" s="3">
        <f>G415*SuperMarket_Analysis[[#This Row],[Quantity]]</f>
        <v>7752</v>
      </c>
    </row>
    <row r="416" spans="1:19" x14ac:dyDescent="0.25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177</v>
      </c>
      <c r="F416" s="1" t="s">
        <v>31</v>
      </c>
      <c r="G416" s="3">
        <v>5093</v>
      </c>
      <c r="H416">
        <v>8</v>
      </c>
      <c r="I416" s="3">
        <v>20372</v>
      </c>
      <c r="J416">
        <v>427812</v>
      </c>
      <c r="K416" t="str">
        <f t="shared" si="6"/>
        <v>março</v>
      </c>
      <c r="L416" s="4">
        <v>43546</v>
      </c>
      <c r="M416" s="2">
        <v>0.81666666666666665</v>
      </c>
      <c r="N416" s="1" t="s">
        <v>23</v>
      </c>
      <c r="O416" s="3">
        <v>40744</v>
      </c>
      <c r="P416">
        <v>4761904762</v>
      </c>
      <c r="Q416" s="3">
        <v>20372</v>
      </c>
      <c r="R416">
        <v>92</v>
      </c>
      <c r="S416" s="3">
        <f>G416*SuperMarket_Analysis[[#This Row],[Quantity]]</f>
        <v>40744</v>
      </c>
    </row>
    <row r="417" spans="1:19" x14ac:dyDescent="0.25">
      <c r="A417" s="1" t="s">
        <v>451</v>
      </c>
      <c r="B417" s="1" t="s">
        <v>41</v>
      </c>
      <c r="C417" s="1" t="s">
        <v>42</v>
      </c>
      <c r="D417" s="1" t="s">
        <v>27</v>
      </c>
      <c r="E417" s="1" t="s">
        <v>177</v>
      </c>
      <c r="F417" s="1" t="s">
        <v>22</v>
      </c>
      <c r="G417" s="3">
        <v>9611</v>
      </c>
      <c r="H417">
        <v>1</v>
      </c>
      <c r="I417" s="3">
        <v>48055</v>
      </c>
      <c r="J417">
        <v>1009155</v>
      </c>
      <c r="K417" t="str">
        <f t="shared" si="6"/>
        <v>janeiro</v>
      </c>
      <c r="L417" s="4">
        <v>43490</v>
      </c>
      <c r="M417" s="2">
        <v>0.68611111111111112</v>
      </c>
      <c r="N417" s="1" t="s">
        <v>23</v>
      </c>
      <c r="O417" s="3">
        <v>9611</v>
      </c>
      <c r="P417">
        <v>4761904762</v>
      </c>
      <c r="Q417" s="3">
        <v>48055</v>
      </c>
      <c r="R417">
        <v>78</v>
      </c>
      <c r="S417" s="3">
        <f>G417*SuperMarket_Analysis[[#This Row],[Quantity]]</f>
        <v>9611</v>
      </c>
    </row>
    <row r="418" spans="1:19" x14ac:dyDescent="0.25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3">
        <v>4538</v>
      </c>
      <c r="H418">
        <v>4</v>
      </c>
      <c r="I418" s="3">
        <v>9076</v>
      </c>
      <c r="J418">
        <v>190596</v>
      </c>
      <c r="K418" t="str">
        <f t="shared" si="6"/>
        <v>janeiro</v>
      </c>
      <c r="L418" s="4">
        <v>43473</v>
      </c>
      <c r="M418" s="2">
        <v>0.57499999999999996</v>
      </c>
      <c r="N418" s="1" t="s">
        <v>32</v>
      </c>
      <c r="O418" s="3">
        <v>18152</v>
      </c>
      <c r="P418">
        <v>4761904762</v>
      </c>
      <c r="Q418" s="3">
        <v>9076</v>
      </c>
      <c r="R418">
        <v>87</v>
      </c>
      <c r="S418" s="3">
        <f>G418*SuperMarket_Analysis[[#This Row],[Quantity]]</f>
        <v>18152</v>
      </c>
    </row>
    <row r="419" spans="1:19" x14ac:dyDescent="0.25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3">
        <v>8151</v>
      </c>
      <c r="H419">
        <v>1</v>
      </c>
      <c r="I419" s="3">
        <v>40755</v>
      </c>
      <c r="J419">
        <v>855855</v>
      </c>
      <c r="K419" t="str">
        <f t="shared" si="6"/>
        <v>janeiro</v>
      </c>
      <c r="L419" s="4">
        <v>43487</v>
      </c>
      <c r="M419" s="2">
        <v>0.45624999999999999</v>
      </c>
      <c r="N419" s="1" t="s">
        <v>23</v>
      </c>
      <c r="O419" s="3">
        <v>8151</v>
      </c>
      <c r="P419">
        <v>4761904762</v>
      </c>
      <c r="Q419" s="3">
        <v>40755</v>
      </c>
      <c r="R419">
        <v>92</v>
      </c>
      <c r="S419" s="3">
        <f>G419*SuperMarket_Analysis[[#This Row],[Quantity]]</f>
        <v>8151</v>
      </c>
    </row>
    <row r="420" spans="1:19" x14ac:dyDescent="0.25">
      <c r="A420" s="1" t="s">
        <v>454</v>
      </c>
      <c r="B420" s="1" t="s">
        <v>41</v>
      </c>
      <c r="C420" s="1" t="s">
        <v>42</v>
      </c>
      <c r="D420" s="1" t="s">
        <v>27</v>
      </c>
      <c r="E420" s="1" t="s">
        <v>21</v>
      </c>
      <c r="F420" s="1" t="s">
        <v>22</v>
      </c>
      <c r="G420" s="3">
        <v>5722</v>
      </c>
      <c r="H420">
        <v>2</v>
      </c>
      <c r="I420" s="3">
        <v>5722</v>
      </c>
      <c r="J420">
        <v>120162</v>
      </c>
      <c r="K420" t="str">
        <f t="shared" si="6"/>
        <v>janeiro</v>
      </c>
      <c r="L420" s="4">
        <v>43477</v>
      </c>
      <c r="M420" s="2">
        <v>0.71736111111111112</v>
      </c>
      <c r="N420" s="1" t="s">
        <v>23</v>
      </c>
      <c r="O420" s="3">
        <v>11444</v>
      </c>
      <c r="P420">
        <v>4761904762</v>
      </c>
      <c r="Q420" s="3">
        <v>5722</v>
      </c>
      <c r="R420">
        <v>83</v>
      </c>
      <c r="S420" s="3">
        <f>G420*SuperMarket_Analysis[[#This Row],[Quantity]]</f>
        <v>11444</v>
      </c>
    </row>
    <row r="421" spans="1:19" x14ac:dyDescent="0.25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3">
        <v>2522</v>
      </c>
      <c r="H421">
        <v>7</v>
      </c>
      <c r="I421" s="3">
        <v>8827</v>
      </c>
      <c r="J421">
        <v>185367</v>
      </c>
      <c r="K421" t="str">
        <f t="shared" si="6"/>
        <v>fevereiro</v>
      </c>
      <c r="L421" s="4">
        <v>43500</v>
      </c>
      <c r="M421" s="2">
        <v>0.43263888888888891</v>
      </c>
      <c r="N421" s="1" t="s">
        <v>29</v>
      </c>
      <c r="O421" s="3">
        <v>17654</v>
      </c>
      <c r="P421">
        <v>4761904762</v>
      </c>
      <c r="Q421" s="3">
        <v>8827</v>
      </c>
      <c r="R421">
        <v>82</v>
      </c>
      <c r="S421" s="3">
        <f>G421*SuperMarket_Analysis[[#This Row],[Quantity]]</f>
        <v>17654</v>
      </c>
    </row>
    <row r="422" spans="1:19" x14ac:dyDescent="0.25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43</v>
      </c>
      <c r="G422" s="3">
        <v>386</v>
      </c>
      <c r="H422">
        <v>3</v>
      </c>
      <c r="I422" s="3">
        <v>579</v>
      </c>
      <c r="J422">
        <v>12159</v>
      </c>
      <c r="K422" t="str">
        <f t="shared" si="6"/>
        <v>março</v>
      </c>
      <c r="L422" s="4">
        <v>43552</v>
      </c>
      <c r="M422" s="2">
        <v>0.58125000000000004</v>
      </c>
      <c r="N422" s="1" t="s">
        <v>23</v>
      </c>
      <c r="O422" s="3">
        <v>1158</v>
      </c>
      <c r="P422">
        <v>4761904762</v>
      </c>
      <c r="Q422" s="3">
        <v>579</v>
      </c>
      <c r="R422">
        <v>75</v>
      </c>
      <c r="S422" s="3">
        <f>G422*SuperMarket_Analysis[[#This Row],[Quantity]]</f>
        <v>1158</v>
      </c>
    </row>
    <row r="423" spans="1:19" x14ac:dyDescent="0.25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3">
        <v>8405</v>
      </c>
      <c r="H423">
        <v>3</v>
      </c>
      <c r="I423" s="3">
        <v>126075</v>
      </c>
      <c r="J423">
        <v>2647575</v>
      </c>
      <c r="K423" t="str">
        <f t="shared" si="6"/>
        <v>janeiro</v>
      </c>
      <c r="L423" s="4">
        <v>43488</v>
      </c>
      <c r="M423" s="2">
        <v>0.56180555555555556</v>
      </c>
      <c r="N423" s="1" t="s">
        <v>29</v>
      </c>
      <c r="O423" s="3">
        <v>25215</v>
      </c>
      <c r="P423">
        <v>4761904762</v>
      </c>
      <c r="Q423" s="3">
        <v>126075</v>
      </c>
      <c r="R423">
        <v>98</v>
      </c>
      <c r="S423" s="3">
        <f>G423*SuperMarket_Analysis[[#This Row],[Quantity]]</f>
        <v>25215</v>
      </c>
    </row>
    <row r="424" spans="1:19" x14ac:dyDescent="0.25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45</v>
      </c>
      <c r="G424" s="3">
        <v>9721</v>
      </c>
      <c r="H424">
        <v>10</v>
      </c>
      <c r="I424" s="3">
        <v>48605</v>
      </c>
      <c r="J424">
        <v>1020705</v>
      </c>
      <c r="K424" t="str">
        <f t="shared" si="6"/>
        <v>fevereiro</v>
      </c>
      <c r="L424" s="4">
        <v>43504</v>
      </c>
      <c r="M424" s="2">
        <v>0.54166666666666663</v>
      </c>
      <c r="N424" s="1" t="s">
        <v>32</v>
      </c>
      <c r="O424" s="3">
        <v>9721</v>
      </c>
      <c r="P424">
        <v>4761904762</v>
      </c>
      <c r="Q424" s="3">
        <v>48605</v>
      </c>
      <c r="R424">
        <v>87</v>
      </c>
      <c r="S424" s="3">
        <f>G424*SuperMarket_Analysis[[#This Row],[Quantity]]</f>
        <v>97210</v>
      </c>
    </row>
    <row r="425" spans="1:19" x14ac:dyDescent="0.25">
      <c r="A425" s="1" t="s">
        <v>459</v>
      </c>
      <c r="B425" s="1" t="s">
        <v>41</v>
      </c>
      <c r="C425" s="1" t="s">
        <v>42</v>
      </c>
      <c r="D425" s="1" t="s">
        <v>20</v>
      </c>
      <c r="E425" s="1" t="s">
        <v>177</v>
      </c>
      <c r="F425" s="1" t="s">
        <v>45</v>
      </c>
      <c r="G425" s="3">
        <v>2542</v>
      </c>
      <c r="H425">
        <v>8</v>
      </c>
      <c r="I425" s="3">
        <v>10168</v>
      </c>
      <c r="J425">
        <v>213528</v>
      </c>
      <c r="K425" t="str">
        <f t="shared" si="6"/>
        <v>março</v>
      </c>
      <c r="L425" s="4">
        <v>43543</v>
      </c>
      <c r="M425" s="2">
        <v>0.8208333333333333</v>
      </c>
      <c r="N425" s="1" t="s">
        <v>32</v>
      </c>
      <c r="O425" s="3">
        <v>20336</v>
      </c>
      <c r="P425">
        <v>4761904762</v>
      </c>
      <c r="Q425" s="3">
        <v>10168</v>
      </c>
      <c r="R425">
        <v>67</v>
      </c>
      <c r="S425" s="3">
        <f>G425*SuperMarket_Analysis[[#This Row],[Quantity]]</f>
        <v>20336</v>
      </c>
    </row>
    <row r="426" spans="1:19" x14ac:dyDescent="0.25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177</v>
      </c>
      <c r="F426" s="1" t="s">
        <v>45</v>
      </c>
      <c r="G426" s="3">
        <v>1628</v>
      </c>
      <c r="H426">
        <v>1</v>
      </c>
      <c r="I426" s="3">
        <v>814</v>
      </c>
      <c r="J426">
        <v>17094</v>
      </c>
      <c r="K426" t="str">
        <f t="shared" si="6"/>
        <v>março</v>
      </c>
      <c r="L426" s="4">
        <v>43533</v>
      </c>
      <c r="M426" s="2">
        <v>0.65</v>
      </c>
      <c r="N426" s="1" t="s">
        <v>29</v>
      </c>
      <c r="O426" s="3">
        <v>1628</v>
      </c>
      <c r="P426">
        <v>4761904762</v>
      </c>
      <c r="Q426" s="3">
        <v>814</v>
      </c>
      <c r="R426">
        <v>5</v>
      </c>
      <c r="S426" s="3">
        <f>G426*SuperMarket_Analysis[[#This Row],[Quantity]]</f>
        <v>1628</v>
      </c>
    </row>
    <row r="427" spans="1:19" x14ac:dyDescent="0.25">
      <c r="A427" s="1" t="s">
        <v>461</v>
      </c>
      <c r="B427" s="1" t="s">
        <v>41</v>
      </c>
      <c r="C427" s="1" t="s">
        <v>42</v>
      </c>
      <c r="D427" s="1" t="s">
        <v>20</v>
      </c>
      <c r="E427" s="1" t="s">
        <v>177</v>
      </c>
      <c r="F427" s="1" t="s">
        <v>45</v>
      </c>
      <c r="G427" s="3">
        <v>4061</v>
      </c>
      <c r="H427">
        <v>9</v>
      </c>
      <c r="I427" s="3">
        <v>182745</v>
      </c>
      <c r="J427">
        <v>3837645</v>
      </c>
      <c r="K427" t="str">
        <f t="shared" si="6"/>
        <v>janeiro</v>
      </c>
      <c r="L427" s="4">
        <v>43467</v>
      </c>
      <c r="M427" s="2">
        <v>0.56944444444444442</v>
      </c>
      <c r="N427" s="1" t="s">
        <v>29</v>
      </c>
      <c r="O427" s="3">
        <v>36549</v>
      </c>
      <c r="P427">
        <v>4761904762</v>
      </c>
      <c r="Q427" s="3">
        <v>182745</v>
      </c>
      <c r="R427">
        <v>7</v>
      </c>
      <c r="S427" s="3">
        <f>G427*SuperMarket_Analysis[[#This Row],[Quantity]]</f>
        <v>36549</v>
      </c>
    </row>
    <row r="428" spans="1:19" x14ac:dyDescent="0.25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177</v>
      </c>
      <c r="F428" s="1" t="s">
        <v>22</v>
      </c>
      <c r="G428" s="3">
        <v>5317</v>
      </c>
      <c r="H428">
        <v>7</v>
      </c>
      <c r="I428" s="3">
        <v>186095</v>
      </c>
      <c r="J428">
        <v>3907995</v>
      </c>
      <c r="K428" t="str">
        <f t="shared" si="6"/>
        <v>janeiro</v>
      </c>
      <c r="L428" s="4">
        <v>43486</v>
      </c>
      <c r="M428" s="2">
        <v>0.75069444444444444</v>
      </c>
      <c r="N428" s="1" t="s">
        <v>29</v>
      </c>
      <c r="O428" s="3">
        <v>37219</v>
      </c>
      <c r="P428">
        <v>4761904762</v>
      </c>
      <c r="Q428" s="3">
        <v>186095</v>
      </c>
      <c r="R428">
        <v>89</v>
      </c>
      <c r="S428" s="3">
        <f>G428*SuperMarket_Analysis[[#This Row],[Quantity]]</f>
        <v>37219</v>
      </c>
    </row>
    <row r="429" spans="1:19" x14ac:dyDescent="0.25">
      <c r="A429" s="1" t="s">
        <v>463</v>
      </c>
      <c r="B429" s="1" t="s">
        <v>41</v>
      </c>
      <c r="C429" s="1" t="s">
        <v>42</v>
      </c>
      <c r="D429" s="1" t="s">
        <v>20</v>
      </c>
      <c r="E429" s="1" t="s">
        <v>21</v>
      </c>
      <c r="F429" s="1" t="s">
        <v>43</v>
      </c>
      <c r="G429" s="3">
        <v>2087</v>
      </c>
      <c r="H429">
        <v>3</v>
      </c>
      <c r="I429" s="3">
        <v>31305</v>
      </c>
      <c r="J429">
        <v>657405</v>
      </c>
      <c r="K429" t="str">
        <f t="shared" si="6"/>
        <v>março</v>
      </c>
      <c r="L429" s="4">
        <v>43544</v>
      </c>
      <c r="M429" s="2">
        <v>0.57847222222222228</v>
      </c>
      <c r="N429" s="1" t="s">
        <v>32</v>
      </c>
      <c r="O429" s="3">
        <v>6261</v>
      </c>
      <c r="P429">
        <v>4761904762</v>
      </c>
      <c r="Q429" s="3">
        <v>31305</v>
      </c>
      <c r="R429">
        <v>8</v>
      </c>
      <c r="S429" s="3">
        <f>G429*SuperMarket_Analysis[[#This Row],[Quantity]]</f>
        <v>6261</v>
      </c>
    </row>
    <row r="430" spans="1:19" x14ac:dyDescent="0.25">
      <c r="A430" s="1" t="s">
        <v>464</v>
      </c>
      <c r="B430" s="1" t="s">
        <v>41</v>
      </c>
      <c r="C430" s="1" t="s">
        <v>42</v>
      </c>
      <c r="D430" s="1" t="s">
        <v>27</v>
      </c>
      <c r="E430" s="1" t="s">
        <v>177</v>
      </c>
      <c r="F430" s="1" t="s">
        <v>35</v>
      </c>
      <c r="G430" s="3">
        <v>6727</v>
      </c>
      <c r="H430">
        <v>5</v>
      </c>
      <c r="I430" s="3">
        <v>168175</v>
      </c>
      <c r="J430">
        <v>3531675</v>
      </c>
      <c r="K430" t="str">
        <f t="shared" si="6"/>
        <v>fevereiro</v>
      </c>
      <c r="L430" s="4">
        <v>43523</v>
      </c>
      <c r="M430" s="2">
        <v>0.7270833333333333</v>
      </c>
      <c r="N430" s="1" t="s">
        <v>29</v>
      </c>
      <c r="O430" s="3">
        <v>33635</v>
      </c>
      <c r="P430">
        <v>4761904762</v>
      </c>
      <c r="Q430" s="3">
        <v>168175</v>
      </c>
      <c r="R430">
        <v>69</v>
      </c>
      <c r="S430" s="3">
        <f>G430*SuperMarket_Analysis[[#This Row],[Quantity]]</f>
        <v>33635</v>
      </c>
    </row>
    <row r="431" spans="1:19" x14ac:dyDescent="0.25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3">
        <v>9065</v>
      </c>
      <c r="H431">
        <v>10</v>
      </c>
      <c r="I431" s="3">
        <v>45325</v>
      </c>
      <c r="J431">
        <v>951825</v>
      </c>
      <c r="K431" t="str">
        <f t="shared" si="6"/>
        <v>março</v>
      </c>
      <c r="L431" s="4">
        <v>43532</v>
      </c>
      <c r="M431" s="2">
        <v>0.45347222222222222</v>
      </c>
      <c r="N431" s="1" t="s">
        <v>23</v>
      </c>
      <c r="O431" s="3">
        <v>9065</v>
      </c>
      <c r="P431">
        <v>4761904762</v>
      </c>
      <c r="Q431" s="3">
        <v>45325</v>
      </c>
      <c r="R431">
        <v>73</v>
      </c>
      <c r="S431" s="3">
        <f>G431*SuperMarket_Analysis[[#This Row],[Quantity]]</f>
        <v>90650</v>
      </c>
    </row>
    <row r="432" spans="1:19" x14ac:dyDescent="0.25">
      <c r="A432" s="1" t="s">
        <v>466</v>
      </c>
      <c r="B432" s="1" t="s">
        <v>41</v>
      </c>
      <c r="C432" s="1" t="s">
        <v>42</v>
      </c>
      <c r="D432" s="1" t="s">
        <v>27</v>
      </c>
      <c r="E432" s="1" t="s">
        <v>177</v>
      </c>
      <c r="F432" s="1" t="s">
        <v>45</v>
      </c>
      <c r="G432" s="3">
        <v>6908</v>
      </c>
      <c r="H432">
        <v>2</v>
      </c>
      <c r="I432" s="3">
        <v>6908</v>
      </c>
      <c r="J432">
        <v>145068</v>
      </c>
      <c r="K432" t="str">
        <f t="shared" si="6"/>
        <v>janeiro</v>
      </c>
      <c r="L432" s="4">
        <v>43496</v>
      </c>
      <c r="M432" s="2">
        <v>0.82499999999999996</v>
      </c>
      <c r="N432" s="1" t="s">
        <v>32</v>
      </c>
      <c r="O432" s="3">
        <v>13816</v>
      </c>
      <c r="P432">
        <v>4761904762</v>
      </c>
      <c r="Q432" s="3">
        <v>6908</v>
      </c>
      <c r="R432">
        <v>69</v>
      </c>
      <c r="S432" s="3">
        <f>G432*SuperMarket_Analysis[[#This Row],[Quantity]]</f>
        <v>13816</v>
      </c>
    </row>
    <row r="433" spans="1:19" x14ac:dyDescent="0.25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177</v>
      </c>
      <c r="F433" s="1" t="s">
        <v>43</v>
      </c>
      <c r="G433" s="3">
        <v>4327</v>
      </c>
      <c r="H433">
        <v>2</v>
      </c>
      <c r="I433" s="3">
        <v>4327</v>
      </c>
      <c r="J433">
        <v>90867</v>
      </c>
      <c r="K433" t="str">
        <f t="shared" si="6"/>
        <v>março</v>
      </c>
      <c r="L433" s="4">
        <v>43532</v>
      </c>
      <c r="M433" s="2">
        <v>0.70347222222222228</v>
      </c>
      <c r="N433" s="1" t="s">
        <v>23</v>
      </c>
      <c r="O433" s="3">
        <v>8654</v>
      </c>
      <c r="P433">
        <v>4761904762</v>
      </c>
      <c r="Q433" s="3">
        <v>4327</v>
      </c>
      <c r="R433">
        <v>57</v>
      </c>
      <c r="S433" s="3">
        <f>G433*SuperMarket_Analysis[[#This Row],[Quantity]]</f>
        <v>8654</v>
      </c>
    </row>
    <row r="434" spans="1:19" x14ac:dyDescent="0.25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3">
        <v>2346</v>
      </c>
      <c r="H434">
        <v>6</v>
      </c>
      <c r="I434" s="3">
        <v>7038</v>
      </c>
      <c r="J434">
        <v>147798</v>
      </c>
      <c r="K434" t="str">
        <f t="shared" si="6"/>
        <v>janeiro</v>
      </c>
      <c r="L434" s="4">
        <v>43478</v>
      </c>
      <c r="M434" s="2">
        <v>0.80138888888888893</v>
      </c>
      <c r="N434" s="1" t="s">
        <v>23</v>
      </c>
      <c r="O434" s="3">
        <v>14076</v>
      </c>
      <c r="P434">
        <v>4761904762</v>
      </c>
      <c r="Q434" s="3">
        <v>7038</v>
      </c>
      <c r="R434">
        <v>64</v>
      </c>
      <c r="S434" s="3">
        <f>G434*SuperMarket_Analysis[[#This Row],[Quantity]]</f>
        <v>14076</v>
      </c>
    </row>
    <row r="435" spans="1:19" x14ac:dyDescent="0.25">
      <c r="A435" s="1" t="s">
        <v>469</v>
      </c>
      <c r="B435" s="1" t="s">
        <v>41</v>
      </c>
      <c r="C435" s="1" t="s">
        <v>42</v>
      </c>
      <c r="D435" s="1" t="s">
        <v>27</v>
      </c>
      <c r="E435" s="1" t="s">
        <v>177</v>
      </c>
      <c r="F435" s="1" t="s">
        <v>45</v>
      </c>
      <c r="G435" s="3">
        <v>9554</v>
      </c>
      <c r="H435">
        <v>7</v>
      </c>
      <c r="I435" s="3">
        <v>33439</v>
      </c>
      <c r="J435">
        <v>702219</v>
      </c>
      <c r="K435" t="str">
        <f t="shared" si="6"/>
        <v>março</v>
      </c>
      <c r="L435" s="4">
        <v>43533</v>
      </c>
      <c r="M435" s="2">
        <v>0.60833333333333328</v>
      </c>
      <c r="N435" s="1" t="s">
        <v>32</v>
      </c>
      <c r="O435" s="3">
        <v>66878</v>
      </c>
      <c r="P435">
        <v>4761904762</v>
      </c>
      <c r="Q435" s="3">
        <v>33439</v>
      </c>
      <c r="R435">
        <v>96</v>
      </c>
      <c r="S435" s="3">
        <f>G435*SuperMarket_Analysis[[#This Row],[Quantity]]</f>
        <v>66878</v>
      </c>
    </row>
    <row r="436" spans="1:19" x14ac:dyDescent="0.25">
      <c r="A436" s="1" t="s">
        <v>470</v>
      </c>
      <c r="B436" s="1" t="s">
        <v>41</v>
      </c>
      <c r="C436" s="1" t="s">
        <v>42</v>
      </c>
      <c r="D436" s="1" t="s">
        <v>27</v>
      </c>
      <c r="E436" s="1" t="s">
        <v>21</v>
      </c>
      <c r="F436" s="1" t="s">
        <v>45</v>
      </c>
      <c r="G436" s="3">
        <v>4744</v>
      </c>
      <c r="H436">
        <v>1</v>
      </c>
      <c r="I436" s="3">
        <v>2372</v>
      </c>
      <c r="J436">
        <v>49812</v>
      </c>
      <c r="K436" t="str">
        <f t="shared" si="6"/>
        <v>fevereiro</v>
      </c>
      <c r="L436" s="4">
        <v>43518</v>
      </c>
      <c r="M436" s="2">
        <v>0.7631944444444444</v>
      </c>
      <c r="N436" s="1" t="s">
        <v>32</v>
      </c>
      <c r="O436" s="3">
        <v>4744</v>
      </c>
      <c r="P436">
        <v>4761904762</v>
      </c>
      <c r="Q436" s="3">
        <v>2372</v>
      </c>
      <c r="R436">
        <v>68</v>
      </c>
      <c r="S436" s="3">
        <f>G436*SuperMarket_Analysis[[#This Row],[Quantity]]</f>
        <v>4744</v>
      </c>
    </row>
    <row r="437" spans="1:19" x14ac:dyDescent="0.25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177</v>
      </c>
      <c r="F437" s="1" t="s">
        <v>35</v>
      </c>
      <c r="G437" s="3">
        <v>9924</v>
      </c>
      <c r="H437">
        <v>9</v>
      </c>
      <c r="I437" s="3">
        <v>44658</v>
      </c>
      <c r="J437">
        <v>937818</v>
      </c>
      <c r="K437" t="str">
        <f t="shared" si="6"/>
        <v>março</v>
      </c>
      <c r="L437" s="4">
        <v>43543</v>
      </c>
      <c r="M437" s="2">
        <v>0.79791666666666672</v>
      </c>
      <c r="N437" s="1" t="s">
        <v>23</v>
      </c>
      <c r="O437" s="3">
        <v>89316</v>
      </c>
      <c r="P437">
        <v>4761904762</v>
      </c>
      <c r="Q437" s="3">
        <v>44658</v>
      </c>
      <c r="R437">
        <v>9</v>
      </c>
      <c r="S437" s="3">
        <f>G437*SuperMarket_Analysis[[#This Row],[Quantity]]</f>
        <v>89316</v>
      </c>
    </row>
    <row r="438" spans="1:19" x14ac:dyDescent="0.25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177</v>
      </c>
      <c r="F438" s="1" t="s">
        <v>35</v>
      </c>
      <c r="G438" s="3">
        <v>8293</v>
      </c>
      <c r="H438">
        <v>4</v>
      </c>
      <c r="I438" s="3">
        <v>16586</v>
      </c>
      <c r="J438">
        <v>348306</v>
      </c>
      <c r="K438" t="str">
        <f t="shared" si="6"/>
        <v>janeiro</v>
      </c>
      <c r="L438" s="4">
        <v>43485</v>
      </c>
      <c r="M438" s="2">
        <v>0.70208333333333328</v>
      </c>
      <c r="N438" s="1" t="s">
        <v>23</v>
      </c>
      <c r="O438" s="3">
        <v>33172</v>
      </c>
      <c r="P438">
        <v>4761904762</v>
      </c>
      <c r="Q438" s="3">
        <v>16586</v>
      </c>
      <c r="R438">
        <v>96</v>
      </c>
      <c r="S438" s="3">
        <f>G438*SuperMarket_Analysis[[#This Row],[Quantity]]</f>
        <v>33172</v>
      </c>
    </row>
    <row r="439" spans="1:19" x14ac:dyDescent="0.25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177</v>
      </c>
      <c r="F439" s="1" t="s">
        <v>31</v>
      </c>
      <c r="G439" s="3">
        <v>3399</v>
      </c>
      <c r="H439">
        <v>6</v>
      </c>
      <c r="I439" s="3">
        <v>10197</v>
      </c>
      <c r="J439">
        <v>214137</v>
      </c>
      <c r="K439" t="str">
        <f t="shared" si="6"/>
        <v>março</v>
      </c>
      <c r="L439" s="4">
        <v>43532</v>
      </c>
      <c r="M439" s="2">
        <v>0.65069444444444446</v>
      </c>
      <c r="N439" s="1" t="s">
        <v>32</v>
      </c>
      <c r="O439" s="3">
        <v>20394</v>
      </c>
      <c r="P439">
        <v>4761904762</v>
      </c>
      <c r="Q439" s="3">
        <v>10197</v>
      </c>
      <c r="R439">
        <v>77</v>
      </c>
      <c r="S439" s="3">
        <f>G439*SuperMarket_Analysis[[#This Row],[Quantity]]</f>
        <v>20394</v>
      </c>
    </row>
    <row r="440" spans="1:19" x14ac:dyDescent="0.25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177</v>
      </c>
      <c r="F440" s="1" t="s">
        <v>43</v>
      </c>
      <c r="G440" s="3">
        <v>1704</v>
      </c>
      <c r="H440">
        <v>4</v>
      </c>
      <c r="I440" s="3">
        <v>3408</v>
      </c>
      <c r="J440">
        <v>71568</v>
      </c>
      <c r="K440" t="str">
        <f t="shared" si="6"/>
        <v>março</v>
      </c>
      <c r="L440" s="4">
        <v>43532</v>
      </c>
      <c r="M440" s="2">
        <v>0.84375</v>
      </c>
      <c r="N440" s="1" t="s">
        <v>23</v>
      </c>
      <c r="O440" s="3">
        <v>6816</v>
      </c>
      <c r="P440">
        <v>4761904762</v>
      </c>
      <c r="Q440" s="3">
        <v>3408</v>
      </c>
      <c r="R440">
        <v>7</v>
      </c>
      <c r="S440" s="3">
        <f>G440*SuperMarket_Analysis[[#This Row],[Quantity]]</f>
        <v>6816</v>
      </c>
    </row>
    <row r="441" spans="1:19" x14ac:dyDescent="0.25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3">
        <v>4086</v>
      </c>
      <c r="H441">
        <v>8</v>
      </c>
      <c r="I441" s="3">
        <v>16344</v>
      </c>
      <c r="J441">
        <v>343224</v>
      </c>
      <c r="K441" t="str">
        <f t="shared" si="6"/>
        <v>fevereiro</v>
      </c>
      <c r="L441" s="4">
        <v>43503</v>
      </c>
      <c r="M441" s="2">
        <v>0.60972222222222228</v>
      </c>
      <c r="N441" s="1" t="s">
        <v>32</v>
      </c>
      <c r="O441" s="3">
        <v>32688</v>
      </c>
      <c r="P441">
        <v>4761904762</v>
      </c>
      <c r="Q441" s="3">
        <v>16344</v>
      </c>
      <c r="R441">
        <v>65</v>
      </c>
      <c r="S441" s="3">
        <f>G441*SuperMarket_Analysis[[#This Row],[Quantity]]</f>
        <v>32688</v>
      </c>
    </row>
    <row r="442" spans="1:19" x14ac:dyDescent="0.25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177</v>
      </c>
      <c r="F442" s="1" t="s">
        <v>43</v>
      </c>
      <c r="G442" s="3">
        <v>1744</v>
      </c>
      <c r="H442">
        <v>5</v>
      </c>
      <c r="I442" s="3">
        <v>436</v>
      </c>
      <c r="J442">
        <v>9156</v>
      </c>
      <c r="K442" t="str">
        <f t="shared" si="6"/>
        <v>janeiro</v>
      </c>
      <c r="L442" s="4">
        <v>43480</v>
      </c>
      <c r="M442" s="2">
        <v>0.80902777777777779</v>
      </c>
      <c r="N442" s="1" t="s">
        <v>29</v>
      </c>
      <c r="O442" s="3">
        <v>872</v>
      </c>
      <c r="P442">
        <v>4761904762</v>
      </c>
      <c r="Q442" s="3">
        <v>436</v>
      </c>
      <c r="R442">
        <v>81</v>
      </c>
      <c r="S442" s="3">
        <f>G442*SuperMarket_Analysis[[#This Row],[Quantity]]</f>
        <v>8720</v>
      </c>
    </row>
    <row r="443" spans="1:19" x14ac:dyDescent="0.25">
      <c r="A443" s="1" t="s">
        <v>477</v>
      </c>
      <c r="B443" s="1" t="s">
        <v>41</v>
      </c>
      <c r="C443" s="1" t="s">
        <v>42</v>
      </c>
      <c r="D443" s="1" t="s">
        <v>20</v>
      </c>
      <c r="E443" s="1" t="s">
        <v>21</v>
      </c>
      <c r="F443" s="1" t="s">
        <v>35</v>
      </c>
      <c r="G443" s="3">
        <v>8843</v>
      </c>
      <c r="H443">
        <v>8</v>
      </c>
      <c r="I443" s="3">
        <v>35372</v>
      </c>
      <c r="J443">
        <v>742812</v>
      </c>
      <c r="K443" t="str">
        <f t="shared" si="6"/>
        <v>março</v>
      </c>
      <c r="L443" s="4">
        <v>43546</v>
      </c>
      <c r="M443" s="2">
        <v>0.81597222222222221</v>
      </c>
      <c r="N443" s="1" t="s">
        <v>32</v>
      </c>
      <c r="O443" s="3">
        <v>70744</v>
      </c>
      <c r="P443">
        <v>4761904762</v>
      </c>
      <c r="Q443" s="3">
        <v>35372</v>
      </c>
      <c r="R443">
        <v>43</v>
      </c>
      <c r="S443" s="3">
        <f>G443*SuperMarket_Analysis[[#This Row],[Quantity]]</f>
        <v>70744</v>
      </c>
    </row>
    <row r="444" spans="1:19" x14ac:dyDescent="0.25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3">
        <v>8921</v>
      </c>
      <c r="H444">
        <v>9</v>
      </c>
      <c r="I444" s="3">
        <v>401445</v>
      </c>
      <c r="J444">
        <v>8430345</v>
      </c>
      <c r="K444" t="str">
        <f t="shared" si="6"/>
        <v>janeiro</v>
      </c>
      <c r="L444" s="4">
        <v>43480</v>
      </c>
      <c r="M444" s="2">
        <v>0.65416666666666667</v>
      </c>
      <c r="N444" s="1" t="s">
        <v>32</v>
      </c>
      <c r="O444" s="3">
        <v>80289</v>
      </c>
      <c r="P444">
        <v>4761904762</v>
      </c>
      <c r="Q444" s="3">
        <v>401445</v>
      </c>
      <c r="R444">
        <v>65</v>
      </c>
      <c r="S444" s="3">
        <f>G444*SuperMarket_Analysis[[#This Row],[Quantity]]</f>
        <v>80289</v>
      </c>
    </row>
    <row r="445" spans="1:19" x14ac:dyDescent="0.25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177</v>
      </c>
      <c r="F445" s="1" t="s">
        <v>45</v>
      </c>
      <c r="G445" s="3">
        <v>1278</v>
      </c>
      <c r="H445">
        <v>1</v>
      </c>
      <c r="I445" s="3">
        <v>639</v>
      </c>
      <c r="J445">
        <v>13419</v>
      </c>
      <c r="K445" t="str">
        <f t="shared" si="6"/>
        <v>janeiro</v>
      </c>
      <c r="L445" s="4">
        <v>43473</v>
      </c>
      <c r="M445" s="2">
        <v>0.59097222222222223</v>
      </c>
      <c r="N445" s="1" t="s">
        <v>23</v>
      </c>
      <c r="O445" s="3">
        <v>1278</v>
      </c>
      <c r="P445">
        <v>4761904762</v>
      </c>
      <c r="Q445" s="3">
        <v>639</v>
      </c>
      <c r="R445">
        <v>95</v>
      </c>
      <c r="S445" s="3">
        <f>G445*SuperMarket_Analysis[[#This Row],[Quantity]]</f>
        <v>1278</v>
      </c>
    </row>
    <row r="446" spans="1:19" x14ac:dyDescent="0.25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35</v>
      </c>
      <c r="G446" s="3">
        <v>191</v>
      </c>
      <c r="H446">
        <v>7</v>
      </c>
      <c r="I446" s="3">
        <v>6685</v>
      </c>
      <c r="J446">
        <v>140385</v>
      </c>
      <c r="K446" t="str">
        <f t="shared" si="6"/>
        <v>janeiro</v>
      </c>
      <c r="L446" s="4">
        <v>43480</v>
      </c>
      <c r="M446" s="2">
        <v>0.4465277777777778</v>
      </c>
      <c r="N446" s="1" t="s">
        <v>29</v>
      </c>
      <c r="O446" s="3">
        <v>1337</v>
      </c>
      <c r="P446">
        <v>4761904762</v>
      </c>
      <c r="Q446" s="3">
        <v>6685</v>
      </c>
      <c r="R446">
        <v>97</v>
      </c>
      <c r="S446" s="3">
        <f>G446*SuperMarket_Analysis[[#This Row],[Quantity]]</f>
        <v>1337</v>
      </c>
    </row>
    <row r="447" spans="1:19" x14ac:dyDescent="0.25">
      <c r="A447" s="1" t="s">
        <v>481</v>
      </c>
      <c r="B447" s="1" t="s">
        <v>41</v>
      </c>
      <c r="C447" s="1" t="s">
        <v>42</v>
      </c>
      <c r="D447" s="1" t="s">
        <v>20</v>
      </c>
      <c r="E447" s="1" t="s">
        <v>21</v>
      </c>
      <c r="F447" s="1" t="s">
        <v>22</v>
      </c>
      <c r="G447" s="3">
        <v>1915</v>
      </c>
      <c r="H447">
        <v>1</v>
      </c>
      <c r="I447" s="3">
        <v>9575</v>
      </c>
      <c r="J447">
        <v>201075</v>
      </c>
      <c r="K447" t="str">
        <f t="shared" si="6"/>
        <v>janeiro</v>
      </c>
      <c r="L447" s="4">
        <v>43493</v>
      </c>
      <c r="M447" s="2">
        <v>0.74861111111111112</v>
      </c>
      <c r="N447" s="1" t="s">
        <v>32</v>
      </c>
      <c r="O447" s="3">
        <v>1915</v>
      </c>
      <c r="P447">
        <v>4761904762</v>
      </c>
      <c r="Q447" s="3">
        <v>9575</v>
      </c>
      <c r="R447">
        <v>95</v>
      </c>
      <c r="S447" s="3">
        <f>G447*SuperMarket_Analysis[[#This Row],[Quantity]]</f>
        <v>1915</v>
      </c>
    </row>
    <row r="448" spans="1:19" x14ac:dyDescent="0.25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177</v>
      </c>
      <c r="F448" s="1" t="s">
        <v>43</v>
      </c>
      <c r="G448" s="3">
        <v>2766</v>
      </c>
      <c r="H448">
        <v>10</v>
      </c>
      <c r="I448" s="3">
        <v>1383</v>
      </c>
      <c r="J448">
        <v>29043</v>
      </c>
      <c r="K448" t="str">
        <f t="shared" si="6"/>
        <v>fevereiro</v>
      </c>
      <c r="L448" s="4">
        <v>43510</v>
      </c>
      <c r="M448" s="2">
        <v>0.47638888888888886</v>
      </c>
      <c r="N448" s="1" t="s">
        <v>32</v>
      </c>
      <c r="O448" s="3">
        <v>2766</v>
      </c>
      <c r="P448">
        <v>4761904762</v>
      </c>
      <c r="Q448" s="3">
        <v>1383</v>
      </c>
      <c r="R448">
        <v>89</v>
      </c>
      <c r="S448" s="3">
        <f>G448*SuperMarket_Analysis[[#This Row],[Quantity]]</f>
        <v>27660</v>
      </c>
    </row>
    <row r="449" spans="1:19" x14ac:dyDescent="0.25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177</v>
      </c>
      <c r="F449" s="1" t="s">
        <v>45</v>
      </c>
      <c r="G449" s="3">
        <v>4574</v>
      </c>
      <c r="H449">
        <v>3</v>
      </c>
      <c r="I449" s="3">
        <v>6861</v>
      </c>
      <c r="J449">
        <v>144081</v>
      </c>
      <c r="K449" t="str">
        <f t="shared" si="6"/>
        <v>março</v>
      </c>
      <c r="L449" s="4">
        <v>43534</v>
      </c>
      <c r="M449" s="2">
        <v>0.73472222222222228</v>
      </c>
      <c r="N449" s="1" t="s">
        <v>32</v>
      </c>
      <c r="O449" s="3">
        <v>13722</v>
      </c>
      <c r="P449">
        <v>4761904762</v>
      </c>
      <c r="Q449" s="3">
        <v>6861</v>
      </c>
      <c r="R449">
        <v>65</v>
      </c>
      <c r="S449" s="3">
        <f>G449*SuperMarket_Analysis[[#This Row],[Quantity]]</f>
        <v>13722</v>
      </c>
    </row>
    <row r="450" spans="1:19" x14ac:dyDescent="0.25">
      <c r="A450" s="1" t="s">
        <v>484</v>
      </c>
      <c r="B450" s="1" t="s">
        <v>41</v>
      </c>
      <c r="C450" s="1" t="s">
        <v>42</v>
      </c>
      <c r="D450" s="1" t="s">
        <v>20</v>
      </c>
      <c r="E450" s="1" t="s">
        <v>21</v>
      </c>
      <c r="F450" s="1" t="s">
        <v>22</v>
      </c>
      <c r="G450" s="3">
        <v>2707</v>
      </c>
      <c r="H450">
        <v>1</v>
      </c>
      <c r="I450" s="3">
        <v>13535</v>
      </c>
      <c r="J450">
        <v>284235</v>
      </c>
      <c r="K450" t="str">
        <f t="shared" ref="K450:K513" si="7">TEXT(L450, "mmmm")</f>
        <v>janeiro</v>
      </c>
      <c r="L450" s="4">
        <v>43477</v>
      </c>
      <c r="M450" s="2">
        <v>0.83819444444444446</v>
      </c>
      <c r="N450" s="1" t="s">
        <v>32</v>
      </c>
      <c r="O450" s="3">
        <v>2707</v>
      </c>
      <c r="P450">
        <v>4761904762</v>
      </c>
      <c r="Q450" s="3">
        <v>13535</v>
      </c>
      <c r="R450">
        <v>53</v>
      </c>
      <c r="S450" s="3">
        <f>G450*SuperMarket_Analysis[[#This Row],[Quantity]]</f>
        <v>2707</v>
      </c>
    </row>
    <row r="451" spans="1:19" x14ac:dyDescent="0.25">
      <c r="A451" s="1" t="s">
        <v>485</v>
      </c>
      <c r="B451" s="1" t="s">
        <v>41</v>
      </c>
      <c r="C451" s="1" t="s">
        <v>42</v>
      </c>
      <c r="D451" s="1" t="s">
        <v>20</v>
      </c>
      <c r="E451" s="1" t="s">
        <v>21</v>
      </c>
      <c r="F451" s="1" t="s">
        <v>35</v>
      </c>
      <c r="G451" s="3">
        <v>3912</v>
      </c>
      <c r="H451">
        <v>1</v>
      </c>
      <c r="I451" s="3">
        <v>1956</v>
      </c>
      <c r="J451">
        <v>41076</v>
      </c>
      <c r="K451" t="str">
        <f t="shared" si="7"/>
        <v>março</v>
      </c>
      <c r="L451" s="4">
        <v>43550</v>
      </c>
      <c r="M451" s="2">
        <v>0.4597222222222222</v>
      </c>
      <c r="N451" s="1" t="s">
        <v>32</v>
      </c>
      <c r="O451" s="3">
        <v>3912</v>
      </c>
      <c r="P451">
        <v>4761904762</v>
      </c>
      <c r="Q451" s="3">
        <v>1956</v>
      </c>
      <c r="R451">
        <v>96</v>
      </c>
      <c r="S451" s="3">
        <f>G451*SuperMarket_Analysis[[#This Row],[Quantity]]</f>
        <v>3912</v>
      </c>
    </row>
    <row r="452" spans="1:19" x14ac:dyDescent="0.25">
      <c r="A452" s="1" t="s">
        <v>486</v>
      </c>
      <c r="B452" s="1" t="s">
        <v>41</v>
      </c>
      <c r="C452" s="1" t="s">
        <v>42</v>
      </c>
      <c r="D452" s="1" t="s">
        <v>27</v>
      </c>
      <c r="E452" s="1" t="s">
        <v>21</v>
      </c>
      <c r="F452" s="1" t="s">
        <v>28</v>
      </c>
      <c r="G452" s="3">
        <v>7471</v>
      </c>
      <c r="H452">
        <v>6</v>
      </c>
      <c r="I452" s="3">
        <v>22413</v>
      </c>
      <c r="J452">
        <v>470673</v>
      </c>
      <c r="K452" t="str">
        <f t="shared" si="7"/>
        <v>janeiro</v>
      </c>
      <c r="L452" s="4">
        <v>43466</v>
      </c>
      <c r="M452" s="2">
        <v>0.79652777777777772</v>
      </c>
      <c r="N452" s="1" t="s">
        <v>29</v>
      </c>
      <c r="O452" s="3">
        <v>44826</v>
      </c>
      <c r="P452">
        <v>4761904762</v>
      </c>
      <c r="Q452" s="3">
        <v>22413</v>
      </c>
      <c r="R452">
        <v>67</v>
      </c>
      <c r="S452" s="3">
        <f>G452*SuperMarket_Analysis[[#This Row],[Quantity]]</f>
        <v>44826</v>
      </c>
    </row>
    <row r="453" spans="1:19" x14ac:dyDescent="0.25">
      <c r="A453" s="1" t="s">
        <v>487</v>
      </c>
      <c r="B453" s="1" t="s">
        <v>41</v>
      </c>
      <c r="C453" s="1" t="s">
        <v>42</v>
      </c>
      <c r="D453" s="1" t="s">
        <v>27</v>
      </c>
      <c r="E453" s="1" t="s">
        <v>177</v>
      </c>
      <c r="F453" s="1" t="s">
        <v>28</v>
      </c>
      <c r="G453" s="3">
        <v>2201</v>
      </c>
      <c r="H453">
        <v>6</v>
      </c>
      <c r="I453" s="3">
        <v>6603</v>
      </c>
      <c r="J453">
        <v>138663</v>
      </c>
      <c r="K453" t="str">
        <f t="shared" si="7"/>
        <v>janeiro</v>
      </c>
      <c r="L453" s="4">
        <v>43467</v>
      </c>
      <c r="M453" s="2">
        <v>0.78472222222222221</v>
      </c>
      <c r="N453" s="1" t="s">
        <v>29</v>
      </c>
      <c r="O453" s="3">
        <v>13206</v>
      </c>
      <c r="P453">
        <v>4761904762</v>
      </c>
      <c r="Q453" s="3">
        <v>6603</v>
      </c>
      <c r="R453">
        <v>76</v>
      </c>
      <c r="S453" s="3">
        <f>G453*SuperMarket_Analysis[[#This Row],[Quantity]]</f>
        <v>13206</v>
      </c>
    </row>
    <row r="454" spans="1:19" x14ac:dyDescent="0.25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43</v>
      </c>
      <c r="G454" s="3">
        <v>6361</v>
      </c>
      <c r="H454">
        <v>5</v>
      </c>
      <c r="I454" s="3">
        <v>159025</v>
      </c>
      <c r="J454">
        <v>3339525</v>
      </c>
      <c r="K454" t="str">
        <f t="shared" si="7"/>
        <v>março</v>
      </c>
      <c r="L454" s="4">
        <v>43540</v>
      </c>
      <c r="M454" s="2">
        <v>0.52986111111111112</v>
      </c>
      <c r="N454" s="1" t="s">
        <v>23</v>
      </c>
      <c r="O454" s="3">
        <v>31805</v>
      </c>
      <c r="P454">
        <v>4761904762</v>
      </c>
      <c r="Q454" s="3">
        <v>159025</v>
      </c>
      <c r="R454">
        <v>48</v>
      </c>
      <c r="S454" s="3">
        <f>G454*SuperMarket_Analysis[[#This Row],[Quantity]]</f>
        <v>31805</v>
      </c>
    </row>
    <row r="455" spans="1:19" x14ac:dyDescent="0.25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177</v>
      </c>
      <c r="F455" s="1" t="s">
        <v>22</v>
      </c>
      <c r="G455" s="3">
        <v>25</v>
      </c>
      <c r="H455">
        <v>1</v>
      </c>
      <c r="I455" s="3">
        <v>125</v>
      </c>
      <c r="J455">
        <v>2625</v>
      </c>
      <c r="K455" t="str">
        <f t="shared" si="7"/>
        <v>março</v>
      </c>
      <c r="L455" s="4">
        <v>43527</v>
      </c>
      <c r="M455" s="2">
        <v>0.63124999999999998</v>
      </c>
      <c r="N455" s="1" t="s">
        <v>23</v>
      </c>
      <c r="O455" s="3">
        <v>25</v>
      </c>
      <c r="P455">
        <v>4761904762</v>
      </c>
      <c r="Q455" s="3">
        <v>125</v>
      </c>
      <c r="R455">
        <v>55</v>
      </c>
      <c r="S455" s="3">
        <f>G455*SuperMarket_Analysis[[#This Row],[Quantity]]</f>
        <v>25</v>
      </c>
    </row>
    <row r="456" spans="1:19" x14ac:dyDescent="0.25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177</v>
      </c>
      <c r="F456" s="1" t="s">
        <v>28</v>
      </c>
      <c r="G456" s="3">
        <v>2077</v>
      </c>
      <c r="H456">
        <v>4</v>
      </c>
      <c r="I456" s="3">
        <v>4154</v>
      </c>
      <c r="J456">
        <v>87234</v>
      </c>
      <c r="K456" t="str">
        <f t="shared" si="7"/>
        <v>janeiro</v>
      </c>
      <c r="L456" s="4">
        <v>43496</v>
      </c>
      <c r="M456" s="2">
        <v>0.57430555555555551</v>
      </c>
      <c r="N456" s="1" t="s">
        <v>29</v>
      </c>
      <c r="O456" s="3">
        <v>8308</v>
      </c>
      <c r="P456">
        <v>4761904762</v>
      </c>
      <c r="Q456" s="3">
        <v>4154</v>
      </c>
      <c r="R456">
        <v>47</v>
      </c>
      <c r="S456" s="3">
        <f>G456*SuperMarket_Analysis[[#This Row],[Quantity]]</f>
        <v>8308</v>
      </c>
    </row>
    <row r="457" spans="1:19" x14ac:dyDescent="0.25">
      <c r="A457" s="1" t="s">
        <v>491</v>
      </c>
      <c r="B457" s="1" t="s">
        <v>41</v>
      </c>
      <c r="C457" s="1" t="s">
        <v>42</v>
      </c>
      <c r="D457" s="1" t="s">
        <v>20</v>
      </c>
      <c r="E457" s="1" t="s">
        <v>21</v>
      </c>
      <c r="F457" s="1" t="s">
        <v>45</v>
      </c>
      <c r="G457" s="3">
        <v>2956</v>
      </c>
      <c r="H457">
        <v>5</v>
      </c>
      <c r="I457" s="3">
        <v>739</v>
      </c>
      <c r="J457">
        <v>15519</v>
      </c>
      <c r="K457" t="str">
        <f t="shared" si="7"/>
        <v>fevereiro</v>
      </c>
      <c r="L457" s="4">
        <v>43509</v>
      </c>
      <c r="M457" s="2">
        <v>0.70763888888888893</v>
      </c>
      <c r="N457" s="1" t="s">
        <v>29</v>
      </c>
      <c r="O457" s="3">
        <v>1478</v>
      </c>
      <c r="P457">
        <v>4761904762</v>
      </c>
      <c r="Q457" s="3">
        <v>739</v>
      </c>
      <c r="R457">
        <v>69</v>
      </c>
      <c r="S457" s="3">
        <f>G457*SuperMarket_Analysis[[#This Row],[Quantity]]</f>
        <v>14780</v>
      </c>
    </row>
    <row r="458" spans="1:19" x14ac:dyDescent="0.25">
      <c r="A458" s="1" t="s">
        <v>492</v>
      </c>
      <c r="B458" s="1" t="s">
        <v>41</v>
      </c>
      <c r="C458" s="1" t="s">
        <v>42</v>
      </c>
      <c r="D458" s="1" t="s">
        <v>20</v>
      </c>
      <c r="E458" s="1" t="s">
        <v>21</v>
      </c>
      <c r="F458" s="1" t="s">
        <v>43</v>
      </c>
      <c r="G458" s="3">
        <v>774</v>
      </c>
      <c r="H458">
        <v>9</v>
      </c>
      <c r="I458" s="3">
        <v>3483</v>
      </c>
      <c r="J458">
        <v>73143</v>
      </c>
      <c r="K458" t="str">
        <f t="shared" si="7"/>
        <v>fevereiro</v>
      </c>
      <c r="L458" s="4">
        <v>43511</v>
      </c>
      <c r="M458" s="2">
        <v>0.59375</v>
      </c>
      <c r="N458" s="1" t="s">
        <v>32</v>
      </c>
      <c r="O458" s="3">
        <v>6966</v>
      </c>
      <c r="P458">
        <v>4761904762</v>
      </c>
      <c r="Q458" s="3">
        <v>3483</v>
      </c>
      <c r="R458">
        <v>45</v>
      </c>
      <c r="S458" s="3">
        <f>G458*SuperMarket_Analysis[[#This Row],[Quantity]]</f>
        <v>6966</v>
      </c>
    </row>
    <row r="459" spans="1:19" x14ac:dyDescent="0.25">
      <c r="A459" s="1" t="s">
        <v>493</v>
      </c>
      <c r="B459" s="1" t="s">
        <v>41</v>
      </c>
      <c r="C459" s="1" t="s">
        <v>42</v>
      </c>
      <c r="D459" s="1" t="s">
        <v>27</v>
      </c>
      <c r="E459" s="1" t="s">
        <v>177</v>
      </c>
      <c r="F459" s="1" t="s">
        <v>28</v>
      </c>
      <c r="G459" s="3">
        <v>7939</v>
      </c>
      <c r="H459">
        <v>10</v>
      </c>
      <c r="I459" s="3">
        <v>39695</v>
      </c>
      <c r="J459">
        <v>833595</v>
      </c>
      <c r="K459" t="str">
        <f t="shared" si="7"/>
        <v>fevereiro</v>
      </c>
      <c r="L459" s="4">
        <v>43503</v>
      </c>
      <c r="M459" s="2">
        <v>0.85</v>
      </c>
      <c r="N459" s="1" t="s">
        <v>29</v>
      </c>
      <c r="O459" s="3">
        <v>7939</v>
      </c>
      <c r="P459">
        <v>4761904762</v>
      </c>
      <c r="Q459" s="3">
        <v>39695</v>
      </c>
      <c r="R459">
        <v>62</v>
      </c>
      <c r="S459" s="3">
        <f>G459*SuperMarket_Analysis[[#This Row],[Quantity]]</f>
        <v>79390</v>
      </c>
    </row>
    <row r="460" spans="1:19" x14ac:dyDescent="0.25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3">
        <v>4657</v>
      </c>
      <c r="H460">
        <v>10</v>
      </c>
      <c r="I460" s="3">
        <v>23285</v>
      </c>
      <c r="J460">
        <v>488985</v>
      </c>
      <c r="K460" t="str">
        <f t="shared" si="7"/>
        <v>janeiro</v>
      </c>
      <c r="L460" s="4">
        <v>43492</v>
      </c>
      <c r="M460" s="2">
        <v>0.58194444444444449</v>
      </c>
      <c r="N460" s="1" t="s">
        <v>29</v>
      </c>
      <c r="O460" s="3">
        <v>4657</v>
      </c>
      <c r="P460">
        <v>4761904762</v>
      </c>
      <c r="Q460" s="3">
        <v>23285</v>
      </c>
      <c r="R460">
        <v>76</v>
      </c>
      <c r="S460" s="3">
        <f>G460*SuperMarket_Analysis[[#This Row],[Quantity]]</f>
        <v>46570</v>
      </c>
    </row>
    <row r="461" spans="1:19" x14ac:dyDescent="0.25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177</v>
      </c>
      <c r="F461" s="1" t="s">
        <v>43</v>
      </c>
      <c r="G461" s="3">
        <v>3589</v>
      </c>
      <c r="H461">
        <v>1</v>
      </c>
      <c r="I461" s="3">
        <v>17945</v>
      </c>
      <c r="J461">
        <v>376845</v>
      </c>
      <c r="K461" t="str">
        <f t="shared" si="7"/>
        <v>fevereiro</v>
      </c>
      <c r="L461" s="4">
        <v>43519</v>
      </c>
      <c r="M461" s="2">
        <v>0.70277777777777772</v>
      </c>
      <c r="N461" s="1" t="s">
        <v>32</v>
      </c>
      <c r="O461" s="3">
        <v>3589</v>
      </c>
      <c r="P461">
        <v>4761904762</v>
      </c>
      <c r="Q461" s="3">
        <v>17945</v>
      </c>
      <c r="R461">
        <v>79</v>
      </c>
      <c r="S461" s="3">
        <f>G461*SuperMarket_Analysis[[#This Row],[Quantity]]</f>
        <v>3589</v>
      </c>
    </row>
    <row r="462" spans="1:19" x14ac:dyDescent="0.25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177</v>
      </c>
      <c r="F462" s="1" t="s">
        <v>43</v>
      </c>
      <c r="G462" s="3">
        <v>4052</v>
      </c>
      <c r="H462">
        <v>5</v>
      </c>
      <c r="I462" s="3">
        <v>1013</v>
      </c>
      <c r="J462">
        <v>21273</v>
      </c>
      <c r="K462" t="str">
        <f t="shared" si="7"/>
        <v>fevereiro</v>
      </c>
      <c r="L462" s="4">
        <v>43499</v>
      </c>
      <c r="M462" s="2">
        <v>0.6381944444444444</v>
      </c>
      <c r="N462" s="1" t="s">
        <v>29</v>
      </c>
      <c r="O462" s="3">
        <v>2026</v>
      </c>
      <c r="P462">
        <v>4761904762</v>
      </c>
      <c r="Q462" s="3">
        <v>1013</v>
      </c>
      <c r="R462">
        <v>45</v>
      </c>
      <c r="S462" s="3">
        <f>G462*SuperMarket_Analysis[[#This Row],[Quantity]]</f>
        <v>20260</v>
      </c>
    </row>
    <row r="463" spans="1:19" x14ac:dyDescent="0.25">
      <c r="A463" s="1" t="s">
        <v>497</v>
      </c>
      <c r="B463" s="1" t="s">
        <v>41</v>
      </c>
      <c r="C463" s="1" t="s">
        <v>42</v>
      </c>
      <c r="D463" s="1" t="s">
        <v>20</v>
      </c>
      <c r="E463" s="1" t="s">
        <v>21</v>
      </c>
      <c r="F463" s="1" t="s">
        <v>43</v>
      </c>
      <c r="G463" s="3">
        <v>7305</v>
      </c>
      <c r="H463">
        <v>10</v>
      </c>
      <c r="I463" s="3">
        <v>36525</v>
      </c>
      <c r="J463">
        <v>767025</v>
      </c>
      <c r="K463" t="str">
        <f t="shared" si="7"/>
        <v>março</v>
      </c>
      <c r="L463" s="4">
        <v>43527</v>
      </c>
      <c r="M463" s="2">
        <v>0.51736111111111116</v>
      </c>
      <c r="N463" s="1" t="s">
        <v>32</v>
      </c>
      <c r="O463" s="3">
        <v>7305</v>
      </c>
      <c r="P463">
        <v>4761904762</v>
      </c>
      <c r="Q463" s="3">
        <v>36525</v>
      </c>
      <c r="R463">
        <v>87</v>
      </c>
      <c r="S463" s="3">
        <f>G463*SuperMarket_Analysis[[#This Row],[Quantity]]</f>
        <v>73050</v>
      </c>
    </row>
    <row r="464" spans="1:19" x14ac:dyDescent="0.25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35</v>
      </c>
      <c r="G464" s="3">
        <v>7395</v>
      </c>
      <c r="H464">
        <v>4</v>
      </c>
      <c r="I464" s="3">
        <v>1479</v>
      </c>
      <c r="J464">
        <v>31059</v>
      </c>
      <c r="K464" t="str">
        <f t="shared" si="7"/>
        <v>fevereiro</v>
      </c>
      <c r="L464" s="4">
        <v>43499</v>
      </c>
      <c r="M464" s="2">
        <v>0.41805555555555557</v>
      </c>
      <c r="N464" s="1" t="s">
        <v>29</v>
      </c>
      <c r="O464" s="3">
        <v>2958</v>
      </c>
      <c r="P464">
        <v>4761904762</v>
      </c>
      <c r="Q464" s="3">
        <v>1479</v>
      </c>
      <c r="R464">
        <v>61</v>
      </c>
      <c r="S464" s="3">
        <f>G464*SuperMarket_Analysis[[#This Row],[Quantity]]</f>
        <v>29580</v>
      </c>
    </row>
    <row r="465" spans="1:19" x14ac:dyDescent="0.25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43</v>
      </c>
      <c r="G465" s="3">
        <v>2262</v>
      </c>
      <c r="H465">
        <v>1</v>
      </c>
      <c r="I465" s="3">
        <v>1131</v>
      </c>
      <c r="J465">
        <v>23751</v>
      </c>
      <c r="K465" t="str">
        <f t="shared" si="7"/>
        <v>março</v>
      </c>
      <c r="L465" s="4">
        <v>43541</v>
      </c>
      <c r="M465" s="2">
        <v>0.79027777777777775</v>
      </c>
      <c r="N465" s="1" t="s">
        <v>29</v>
      </c>
      <c r="O465" s="3">
        <v>2262</v>
      </c>
      <c r="P465">
        <v>4761904762</v>
      </c>
      <c r="Q465" s="3">
        <v>1131</v>
      </c>
      <c r="R465">
        <v>64</v>
      </c>
      <c r="S465" s="3">
        <f>G465*SuperMarket_Analysis[[#This Row],[Quantity]]</f>
        <v>2262</v>
      </c>
    </row>
    <row r="466" spans="1:19" x14ac:dyDescent="0.25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177</v>
      </c>
      <c r="F466" s="1" t="s">
        <v>43</v>
      </c>
      <c r="G466" s="3">
        <v>5134</v>
      </c>
      <c r="H466">
        <v>5</v>
      </c>
      <c r="I466" s="3">
        <v>12835</v>
      </c>
      <c r="J466">
        <v>269535</v>
      </c>
      <c r="K466" t="str">
        <f t="shared" si="7"/>
        <v>março</v>
      </c>
      <c r="L466" s="4">
        <v>43552</v>
      </c>
      <c r="M466" s="2">
        <v>0.64652777777777781</v>
      </c>
      <c r="N466" s="1" t="s">
        <v>32</v>
      </c>
      <c r="O466" s="3">
        <v>2567</v>
      </c>
      <c r="P466">
        <v>4761904762</v>
      </c>
      <c r="Q466" s="3">
        <v>12835</v>
      </c>
      <c r="R466">
        <v>91</v>
      </c>
      <c r="S466" s="3">
        <f>G466*SuperMarket_Analysis[[#This Row],[Quantity]]</f>
        <v>25670</v>
      </c>
    </row>
    <row r="467" spans="1:19" x14ac:dyDescent="0.25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35</v>
      </c>
      <c r="G467" s="3">
        <v>5455</v>
      </c>
      <c r="H467">
        <v>10</v>
      </c>
      <c r="I467" s="3">
        <v>27275</v>
      </c>
      <c r="J467">
        <v>572775</v>
      </c>
      <c r="K467" t="str">
        <f t="shared" si="7"/>
        <v>março</v>
      </c>
      <c r="L467" s="4">
        <v>43526</v>
      </c>
      <c r="M467" s="2">
        <v>0.47361111111111109</v>
      </c>
      <c r="N467" s="1" t="s">
        <v>32</v>
      </c>
      <c r="O467" s="3">
        <v>5455</v>
      </c>
      <c r="P467">
        <v>4761904762</v>
      </c>
      <c r="Q467" s="3">
        <v>27275</v>
      </c>
      <c r="R467">
        <v>71</v>
      </c>
      <c r="S467" s="3">
        <f>G467*SuperMarket_Analysis[[#This Row],[Quantity]]</f>
        <v>54550</v>
      </c>
    </row>
    <row r="468" spans="1:19" x14ac:dyDescent="0.25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3">
        <v>3715</v>
      </c>
      <c r="H468">
        <v>7</v>
      </c>
      <c r="I468" s="3">
        <v>130025</v>
      </c>
      <c r="J468">
        <v>2730525</v>
      </c>
      <c r="K468" t="str">
        <f t="shared" si="7"/>
        <v>fevereiro</v>
      </c>
      <c r="L468" s="4">
        <v>43504</v>
      </c>
      <c r="M468" s="2">
        <v>0.55000000000000004</v>
      </c>
      <c r="N468" s="1" t="s">
        <v>32</v>
      </c>
      <c r="O468" s="3">
        <v>26005</v>
      </c>
      <c r="P468">
        <v>4761904762</v>
      </c>
      <c r="Q468" s="3">
        <v>130025</v>
      </c>
      <c r="R468">
        <v>77</v>
      </c>
      <c r="S468" s="3">
        <f>G468*SuperMarket_Analysis[[#This Row],[Quantity]]</f>
        <v>26005</v>
      </c>
    </row>
    <row r="469" spans="1:19" x14ac:dyDescent="0.25">
      <c r="A469" s="1" t="s">
        <v>503</v>
      </c>
      <c r="B469" s="1" t="s">
        <v>41</v>
      </c>
      <c r="C469" s="1" t="s">
        <v>42</v>
      </c>
      <c r="D469" s="1" t="s">
        <v>27</v>
      </c>
      <c r="E469" s="1" t="s">
        <v>177</v>
      </c>
      <c r="F469" s="1" t="s">
        <v>35</v>
      </c>
      <c r="G469" s="3">
        <v>3702</v>
      </c>
      <c r="H469">
        <v>6</v>
      </c>
      <c r="I469" s="3">
        <v>11106</v>
      </c>
      <c r="J469">
        <v>233226</v>
      </c>
      <c r="K469" t="str">
        <f t="shared" si="7"/>
        <v>março</v>
      </c>
      <c r="L469" s="4">
        <v>43546</v>
      </c>
      <c r="M469" s="2">
        <v>0.7729166666666667</v>
      </c>
      <c r="N469" s="1" t="s">
        <v>29</v>
      </c>
      <c r="O469" s="3">
        <v>22212</v>
      </c>
      <c r="P469">
        <v>4761904762</v>
      </c>
      <c r="Q469" s="3">
        <v>11106</v>
      </c>
      <c r="R469">
        <v>45</v>
      </c>
      <c r="S469" s="3">
        <f>G469*SuperMarket_Analysis[[#This Row],[Quantity]]</f>
        <v>22212</v>
      </c>
    </row>
    <row r="470" spans="1:19" x14ac:dyDescent="0.25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177</v>
      </c>
      <c r="F470" s="1" t="s">
        <v>43</v>
      </c>
      <c r="G470" s="3">
        <v>2158</v>
      </c>
      <c r="H470">
        <v>1</v>
      </c>
      <c r="I470" s="3">
        <v>1079</v>
      </c>
      <c r="J470">
        <v>22659</v>
      </c>
      <c r="K470" t="str">
        <f t="shared" si="7"/>
        <v>fevereiro</v>
      </c>
      <c r="L470" s="4">
        <v>43505</v>
      </c>
      <c r="M470" s="2">
        <v>0.41805555555555557</v>
      </c>
      <c r="N470" s="1" t="s">
        <v>23</v>
      </c>
      <c r="O470" s="3">
        <v>2158</v>
      </c>
      <c r="P470">
        <v>4761904762</v>
      </c>
      <c r="Q470" s="3">
        <v>1079</v>
      </c>
      <c r="R470">
        <v>72</v>
      </c>
      <c r="S470" s="3">
        <f>G470*SuperMarket_Analysis[[#This Row],[Quantity]]</f>
        <v>2158</v>
      </c>
    </row>
    <row r="471" spans="1:19" x14ac:dyDescent="0.25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3">
        <v>9884</v>
      </c>
      <c r="H471">
        <v>1</v>
      </c>
      <c r="I471" s="3">
        <v>4942</v>
      </c>
      <c r="J471">
        <v>103782</v>
      </c>
      <c r="K471" t="str">
        <f t="shared" si="7"/>
        <v>fevereiro</v>
      </c>
      <c r="L471" s="4">
        <v>43511</v>
      </c>
      <c r="M471" s="2">
        <v>0.47291666666666665</v>
      </c>
      <c r="N471" s="1" t="s">
        <v>29</v>
      </c>
      <c r="O471" s="3">
        <v>9884</v>
      </c>
      <c r="P471">
        <v>4761904762</v>
      </c>
      <c r="Q471" s="3">
        <v>4942</v>
      </c>
      <c r="R471">
        <v>84</v>
      </c>
      <c r="S471" s="3">
        <f>G471*SuperMarket_Analysis[[#This Row],[Quantity]]</f>
        <v>9884</v>
      </c>
    </row>
    <row r="472" spans="1:19" x14ac:dyDescent="0.25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3">
        <v>8377</v>
      </c>
      <c r="H472">
        <v>6</v>
      </c>
      <c r="I472" s="3">
        <v>25131</v>
      </c>
      <c r="J472">
        <v>527751</v>
      </c>
      <c r="K472" t="str">
        <f t="shared" si="7"/>
        <v>janeiro</v>
      </c>
      <c r="L472" s="4">
        <v>43488</v>
      </c>
      <c r="M472" s="2">
        <v>0.50694444444444442</v>
      </c>
      <c r="N472" s="1" t="s">
        <v>23</v>
      </c>
      <c r="O472" s="3">
        <v>50262</v>
      </c>
      <c r="P472">
        <v>4761904762</v>
      </c>
      <c r="Q472" s="3">
        <v>25131</v>
      </c>
      <c r="R472">
        <v>54</v>
      </c>
      <c r="S472" s="3">
        <f>G472*SuperMarket_Analysis[[#This Row],[Quantity]]</f>
        <v>50262</v>
      </c>
    </row>
    <row r="473" spans="1:19" x14ac:dyDescent="0.25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35</v>
      </c>
      <c r="G473" s="3">
        <v>4005</v>
      </c>
      <c r="H473">
        <v>4</v>
      </c>
      <c r="I473" s="3">
        <v>801</v>
      </c>
      <c r="J473">
        <v>16821</v>
      </c>
      <c r="K473" t="str">
        <f t="shared" si="7"/>
        <v>janeiro</v>
      </c>
      <c r="L473" s="4">
        <v>43490</v>
      </c>
      <c r="M473" s="2">
        <v>0.4861111111111111</v>
      </c>
      <c r="N473" s="1" t="s">
        <v>29</v>
      </c>
      <c r="O473" s="3">
        <v>1602</v>
      </c>
      <c r="P473">
        <v>4761904762</v>
      </c>
      <c r="Q473" s="3">
        <v>801</v>
      </c>
      <c r="R473">
        <v>97</v>
      </c>
      <c r="S473" s="3">
        <f>G473*SuperMarket_Analysis[[#This Row],[Quantity]]</f>
        <v>16020</v>
      </c>
    </row>
    <row r="474" spans="1:19" x14ac:dyDescent="0.25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177</v>
      </c>
      <c r="F474" s="1" t="s">
        <v>45</v>
      </c>
      <c r="G474" s="3">
        <v>4313</v>
      </c>
      <c r="H474">
        <v>10</v>
      </c>
      <c r="I474" s="3">
        <v>21565</v>
      </c>
      <c r="J474">
        <v>452865</v>
      </c>
      <c r="K474" t="str">
        <f t="shared" si="7"/>
        <v>fevereiro</v>
      </c>
      <c r="L474" s="4">
        <v>43498</v>
      </c>
      <c r="M474" s="2">
        <v>0.77152777777777781</v>
      </c>
      <c r="N474" s="1" t="s">
        <v>32</v>
      </c>
      <c r="O474" s="3">
        <v>4313</v>
      </c>
      <c r="P474">
        <v>4761904762</v>
      </c>
      <c r="Q474" s="3">
        <v>21565</v>
      </c>
      <c r="R474">
        <v>55</v>
      </c>
      <c r="S474" s="3">
        <f>G474*SuperMarket_Analysis[[#This Row],[Quantity]]</f>
        <v>43130</v>
      </c>
    </row>
    <row r="475" spans="1:19" x14ac:dyDescent="0.25">
      <c r="A475" s="1" t="s">
        <v>509</v>
      </c>
      <c r="B475" s="1" t="s">
        <v>41</v>
      </c>
      <c r="C475" s="1" t="s">
        <v>42</v>
      </c>
      <c r="D475" s="1" t="s">
        <v>20</v>
      </c>
      <c r="E475" s="1" t="s">
        <v>177</v>
      </c>
      <c r="F475" s="1" t="s">
        <v>22</v>
      </c>
      <c r="G475" s="3">
        <v>7257</v>
      </c>
      <c r="H475">
        <v>8</v>
      </c>
      <c r="I475" s="3">
        <v>29028</v>
      </c>
      <c r="J475">
        <v>609588</v>
      </c>
      <c r="K475" t="str">
        <f t="shared" si="7"/>
        <v>março</v>
      </c>
      <c r="L475" s="4">
        <v>43554</v>
      </c>
      <c r="M475" s="2">
        <v>0.74861111111111112</v>
      </c>
      <c r="N475" s="1" t="s">
        <v>29</v>
      </c>
      <c r="O475" s="3">
        <v>58056</v>
      </c>
      <c r="P475">
        <v>4761904762</v>
      </c>
      <c r="Q475" s="3">
        <v>29028</v>
      </c>
      <c r="R475">
        <v>46</v>
      </c>
      <c r="S475" s="3">
        <f>G475*SuperMarket_Analysis[[#This Row],[Quantity]]</f>
        <v>58056</v>
      </c>
    </row>
    <row r="476" spans="1:19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3">
        <v>6444</v>
      </c>
      <c r="H476">
        <v>5</v>
      </c>
      <c r="I476" s="3">
        <v>1611</v>
      </c>
      <c r="J476">
        <v>33831</v>
      </c>
      <c r="K476" t="str">
        <f t="shared" si="7"/>
        <v>março</v>
      </c>
      <c r="L476" s="4">
        <v>43554</v>
      </c>
      <c r="M476" s="2">
        <v>0.71111111111111114</v>
      </c>
      <c r="N476" s="1" t="s">
        <v>29</v>
      </c>
      <c r="O476" s="3">
        <v>3222</v>
      </c>
      <c r="P476">
        <v>4761904762</v>
      </c>
      <c r="Q476" s="3">
        <v>1611</v>
      </c>
      <c r="R476">
        <v>66</v>
      </c>
      <c r="S476" s="3">
        <f>G476*SuperMarket_Analysis[[#This Row],[Quantity]]</f>
        <v>32220</v>
      </c>
    </row>
    <row r="477" spans="1:19" x14ac:dyDescent="0.25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177</v>
      </c>
      <c r="F477" s="1" t="s">
        <v>22</v>
      </c>
      <c r="G477" s="3">
        <v>6518</v>
      </c>
      <c r="H477">
        <v>3</v>
      </c>
      <c r="I477" s="3">
        <v>9777</v>
      </c>
      <c r="J477">
        <v>205317</v>
      </c>
      <c r="K477" t="str">
        <f t="shared" si="7"/>
        <v>fevereiro</v>
      </c>
      <c r="L477" s="4">
        <v>43521</v>
      </c>
      <c r="M477" s="2">
        <v>0.85763888888888884</v>
      </c>
      <c r="N477" s="1" t="s">
        <v>32</v>
      </c>
      <c r="O477" s="3">
        <v>19554</v>
      </c>
      <c r="P477">
        <v>4761904762</v>
      </c>
      <c r="Q477" s="3">
        <v>9777</v>
      </c>
      <c r="R477">
        <v>63</v>
      </c>
      <c r="S477" s="3">
        <f>G477*SuperMarket_Analysis[[#This Row],[Quantity]]</f>
        <v>19554</v>
      </c>
    </row>
    <row r="478" spans="1:19" x14ac:dyDescent="0.25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35</v>
      </c>
      <c r="G478" s="3">
        <v>3326</v>
      </c>
      <c r="H478">
        <v>5</v>
      </c>
      <c r="I478" s="3">
        <v>8315</v>
      </c>
      <c r="J478">
        <v>174615</v>
      </c>
      <c r="K478" t="str">
        <f t="shared" si="7"/>
        <v>março</v>
      </c>
      <c r="L478" s="4">
        <v>43542</v>
      </c>
      <c r="M478" s="2">
        <v>0.67361111111111116</v>
      </c>
      <c r="N478" s="1" t="s">
        <v>32</v>
      </c>
      <c r="O478" s="3">
        <v>1663</v>
      </c>
      <c r="P478">
        <v>4761904762</v>
      </c>
      <c r="Q478" s="3">
        <v>8315</v>
      </c>
      <c r="R478">
        <v>42</v>
      </c>
      <c r="S478" s="3">
        <f>G478*SuperMarket_Analysis[[#This Row],[Quantity]]</f>
        <v>16630</v>
      </c>
    </row>
    <row r="479" spans="1:19" x14ac:dyDescent="0.25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177</v>
      </c>
      <c r="F479" s="1" t="s">
        <v>28</v>
      </c>
      <c r="G479" s="3">
        <v>8407</v>
      </c>
      <c r="H479">
        <v>4</v>
      </c>
      <c r="I479" s="3">
        <v>16814</v>
      </c>
      <c r="J479">
        <v>353094</v>
      </c>
      <c r="K479" t="str">
        <f t="shared" si="7"/>
        <v>março</v>
      </c>
      <c r="L479" s="4">
        <v>43531</v>
      </c>
      <c r="M479" s="2">
        <v>0.70416666666666672</v>
      </c>
      <c r="N479" s="1" t="s">
        <v>23</v>
      </c>
      <c r="O479" s="3">
        <v>33628</v>
      </c>
      <c r="P479">
        <v>4761904762</v>
      </c>
      <c r="Q479" s="3">
        <v>16814</v>
      </c>
      <c r="R479">
        <v>44</v>
      </c>
      <c r="S479" s="3">
        <f>G479*SuperMarket_Analysis[[#This Row],[Quantity]]</f>
        <v>33628</v>
      </c>
    </row>
    <row r="480" spans="1:19" x14ac:dyDescent="0.25">
      <c r="A480" s="1" t="s">
        <v>514</v>
      </c>
      <c r="B480" s="1" t="s">
        <v>41</v>
      </c>
      <c r="C480" s="1" t="s">
        <v>42</v>
      </c>
      <c r="D480" s="1" t="s">
        <v>27</v>
      </c>
      <c r="E480" s="1" t="s">
        <v>177</v>
      </c>
      <c r="F480" s="1" t="s">
        <v>35</v>
      </c>
      <c r="G480" s="3">
        <v>3437</v>
      </c>
      <c r="H480">
        <v>10</v>
      </c>
      <c r="I480" s="3">
        <v>17185</v>
      </c>
      <c r="J480">
        <v>360885</v>
      </c>
      <c r="K480" t="str">
        <f t="shared" si="7"/>
        <v>março</v>
      </c>
      <c r="L480" s="4">
        <v>43540</v>
      </c>
      <c r="M480" s="2">
        <v>0.42430555555555555</v>
      </c>
      <c r="N480" s="1" t="s">
        <v>23</v>
      </c>
      <c r="O480" s="3">
        <v>3437</v>
      </c>
      <c r="P480">
        <v>4761904762</v>
      </c>
      <c r="Q480" s="3">
        <v>17185</v>
      </c>
      <c r="R480">
        <v>67</v>
      </c>
      <c r="S480" s="3">
        <f>G480*SuperMarket_Analysis[[#This Row],[Quantity]]</f>
        <v>34370</v>
      </c>
    </row>
    <row r="481" spans="1:19" x14ac:dyDescent="0.25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177</v>
      </c>
      <c r="F481" s="1" t="s">
        <v>28</v>
      </c>
      <c r="G481" s="3">
        <v>386</v>
      </c>
      <c r="H481">
        <v>1</v>
      </c>
      <c r="I481" s="3">
        <v>193</v>
      </c>
      <c r="J481">
        <v>4053</v>
      </c>
      <c r="K481" t="str">
        <f t="shared" si="7"/>
        <v>janeiro</v>
      </c>
      <c r="L481" s="4">
        <v>43494</v>
      </c>
      <c r="M481" s="2">
        <v>0.47638888888888886</v>
      </c>
      <c r="N481" s="1" t="s">
        <v>23</v>
      </c>
      <c r="O481" s="3">
        <v>386</v>
      </c>
      <c r="P481">
        <v>4761904762</v>
      </c>
      <c r="Q481" s="3">
        <v>193</v>
      </c>
      <c r="R481">
        <v>67</v>
      </c>
      <c r="S481" s="3">
        <f>G481*SuperMarket_Analysis[[#This Row],[Quantity]]</f>
        <v>386</v>
      </c>
    </row>
    <row r="482" spans="1:19" x14ac:dyDescent="0.25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177</v>
      </c>
      <c r="F482" s="1" t="s">
        <v>43</v>
      </c>
      <c r="G482" s="3">
        <v>6597</v>
      </c>
      <c r="H482">
        <v>8</v>
      </c>
      <c r="I482" s="3">
        <v>26388</v>
      </c>
      <c r="J482">
        <v>554148</v>
      </c>
      <c r="K482" t="str">
        <f t="shared" si="7"/>
        <v>fevereiro</v>
      </c>
      <c r="L482" s="4">
        <v>43498</v>
      </c>
      <c r="M482" s="2">
        <v>0.85347222222222219</v>
      </c>
      <c r="N482" s="1" t="s">
        <v>29</v>
      </c>
      <c r="O482" s="3">
        <v>52776</v>
      </c>
      <c r="P482">
        <v>4761904762</v>
      </c>
      <c r="Q482" s="3">
        <v>26388</v>
      </c>
      <c r="R482">
        <v>84</v>
      </c>
      <c r="S482" s="3">
        <f>G482*SuperMarket_Analysis[[#This Row],[Quantity]]</f>
        <v>52776</v>
      </c>
    </row>
    <row r="483" spans="1:19" x14ac:dyDescent="0.25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3">
        <v>328</v>
      </c>
      <c r="H483">
        <v>10</v>
      </c>
      <c r="I483" s="3">
        <v>164</v>
      </c>
      <c r="J483">
        <v>3444</v>
      </c>
      <c r="K483" t="str">
        <f t="shared" si="7"/>
        <v>fevereiro</v>
      </c>
      <c r="L483" s="4">
        <v>43511</v>
      </c>
      <c r="M483" s="2">
        <v>0.5083333333333333</v>
      </c>
      <c r="N483" s="1" t="s">
        <v>29</v>
      </c>
      <c r="O483" s="3">
        <v>328</v>
      </c>
      <c r="P483">
        <v>4761904762</v>
      </c>
      <c r="Q483" s="3">
        <v>164</v>
      </c>
      <c r="R483">
        <v>62</v>
      </c>
      <c r="S483" s="3">
        <f>G483*SuperMarket_Analysis[[#This Row],[Quantity]]</f>
        <v>3280</v>
      </c>
    </row>
    <row r="484" spans="1:19" x14ac:dyDescent="0.25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177</v>
      </c>
      <c r="F484" s="1" t="s">
        <v>35</v>
      </c>
      <c r="G484" s="3">
        <v>3714</v>
      </c>
      <c r="H484">
        <v>5</v>
      </c>
      <c r="I484" s="3">
        <v>9285</v>
      </c>
      <c r="J484">
        <v>194985</v>
      </c>
      <c r="K484" t="str">
        <f t="shared" si="7"/>
        <v>janeiro</v>
      </c>
      <c r="L484" s="4">
        <v>43473</v>
      </c>
      <c r="M484" s="2">
        <v>0.54513888888888884</v>
      </c>
      <c r="N484" s="1" t="s">
        <v>23</v>
      </c>
      <c r="O484" s="3">
        <v>1857</v>
      </c>
      <c r="P484">
        <v>4761904762</v>
      </c>
      <c r="Q484" s="3">
        <v>9285</v>
      </c>
      <c r="R484">
        <v>5</v>
      </c>
      <c r="S484" s="3">
        <f>G484*SuperMarket_Analysis[[#This Row],[Quantity]]</f>
        <v>18570</v>
      </c>
    </row>
    <row r="485" spans="1:19" x14ac:dyDescent="0.25">
      <c r="A485" s="1" t="s">
        <v>519</v>
      </c>
      <c r="B485" s="1" t="s">
        <v>41</v>
      </c>
      <c r="C485" s="1" t="s">
        <v>42</v>
      </c>
      <c r="D485" s="1" t="s">
        <v>20</v>
      </c>
      <c r="E485" s="1" t="s">
        <v>177</v>
      </c>
      <c r="F485" s="1" t="s">
        <v>31</v>
      </c>
      <c r="G485" s="3">
        <v>6038</v>
      </c>
      <c r="H485">
        <v>10</v>
      </c>
      <c r="I485" s="3">
        <v>3019</v>
      </c>
      <c r="J485">
        <v>63399</v>
      </c>
      <c r="K485" t="str">
        <f t="shared" si="7"/>
        <v>fevereiro</v>
      </c>
      <c r="L485" s="4">
        <v>43508</v>
      </c>
      <c r="M485" s="2">
        <v>0.67986111111111114</v>
      </c>
      <c r="N485" s="1" t="s">
        <v>29</v>
      </c>
      <c r="O485" s="3">
        <v>6038</v>
      </c>
      <c r="P485">
        <v>4761904762</v>
      </c>
      <c r="Q485" s="3">
        <v>3019</v>
      </c>
      <c r="R485">
        <v>6</v>
      </c>
      <c r="S485" s="3">
        <f>G485*SuperMarket_Analysis[[#This Row],[Quantity]]</f>
        <v>60380</v>
      </c>
    </row>
    <row r="486" spans="1:19" x14ac:dyDescent="0.25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35</v>
      </c>
      <c r="G486" s="3">
        <v>3698</v>
      </c>
      <c r="H486">
        <v>10</v>
      </c>
      <c r="I486" s="3">
        <v>1849</v>
      </c>
      <c r="J486">
        <v>38829</v>
      </c>
      <c r="K486" t="str">
        <f t="shared" si="7"/>
        <v>janeiro</v>
      </c>
      <c r="L486" s="4">
        <v>43466</v>
      </c>
      <c r="M486" s="2">
        <v>0.82499999999999996</v>
      </c>
      <c r="N486" s="1" t="s">
        <v>32</v>
      </c>
      <c r="O486" s="3">
        <v>3698</v>
      </c>
      <c r="P486">
        <v>4761904762</v>
      </c>
      <c r="Q486" s="3">
        <v>1849</v>
      </c>
      <c r="R486">
        <v>7</v>
      </c>
      <c r="S486" s="3">
        <f>G486*SuperMarket_Analysis[[#This Row],[Quantity]]</f>
        <v>36980</v>
      </c>
    </row>
    <row r="487" spans="1:19" x14ac:dyDescent="0.25">
      <c r="A487" s="1" t="s">
        <v>521</v>
      </c>
      <c r="B487" s="1" t="s">
        <v>41</v>
      </c>
      <c r="C487" s="1" t="s">
        <v>42</v>
      </c>
      <c r="D487" s="1" t="s">
        <v>20</v>
      </c>
      <c r="E487" s="1" t="s">
        <v>21</v>
      </c>
      <c r="F487" s="1" t="s">
        <v>35</v>
      </c>
      <c r="G487" s="3">
        <v>4949</v>
      </c>
      <c r="H487">
        <v>4</v>
      </c>
      <c r="I487" s="3">
        <v>9898</v>
      </c>
      <c r="J487">
        <v>207858</v>
      </c>
      <c r="K487" t="str">
        <f t="shared" si="7"/>
        <v>março</v>
      </c>
      <c r="L487" s="4">
        <v>43545</v>
      </c>
      <c r="M487" s="2">
        <v>0.64236111111111116</v>
      </c>
      <c r="N487" s="1" t="s">
        <v>23</v>
      </c>
      <c r="O487" s="3">
        <v>19796</v>
      </c>
      <c r="P487">
        <v>4761904762</v>
      </c>
      <c r="Q487" s="3">
        <v>9898</v>
      </c>
      <c r="R487">
        <v>66</v>
      </c>
      <c r="S487" s="3">
        <f>G487*SuperMarket_Analysis[[#This Row],[Quantity]]</f>
        <v>19796</v>
      </c>
    </row>
    <row r="488" spans="1:19" x14ac:dyDescent="0.25">
      <c r="A488" s="1" t="s">
        <v>522</v>
      </c>
      <c r="B488" s="1" t="s">
        <v>41</v>
      </c>
      <c r="C488" s="1" t="s">
        <v>42</v>
      </c>
      <c r="D488" s="1" t="s">
        <v>27</v>
      </c>
      <c r="E488" s="1" t="s">
        <v>21</v>
      </c>
      <c r="F488" s="1" t="s">
        <v>45</v>
      </c>
      <c r="G488" s="3">
        <v>4109</v>
      </c>
      <c r="H488">
        <v>10</v>
      </c>
      <c r="I488" s="3">
        <v>20545</v>
      </c>
      <c r="J488">
        <v>431445</v>
      </c>
      <c r="K488" t="str">
        <f t="shared" si="7"/>
        <v>fevereiro</v>
      </c>
      <c r="L488" s="4">
        <v>43524</v>
      </c>
      <c r="M488" s="2">
        <v>0.61250000000000004</v>
      </c>
      <c r="N488" s="1" t="s">
        <v>29</v>
      </c>
      <c r="O488" s="3">
        <v>4109</v>
      </c>
      <c r="P488">
        <v>4761904762</v>
      </c>
      <c r="Q488" s="3">
        <v>20545</v>
      </c>
      <c r="R488">
        <v>73</v>
      </c>
      <c r="S488" s="3">
        <f>G488*SuperMarket_Analysis[[#This Row],[Quantity]]</f>
        <v>41090</v>
      </c>
    </row>
    <row r="489" spans="1:19" x14ac:dyDescent="0.25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177</v>
      </c>
      <c r="F489" s="1" t="s">
        <v>45</v>
      </c>
      <c r="G489" s="3">
        <v>3715</v>
      </c>
      <c r="H489">
        <v>4</v>
      </c>
      <c r="I489" s="3">
        <v>743</v>
      </c>
      <c r="J489">
        <v>15603</v>
      </c>
      <c r="K489" t="str">
        <f t="shared" si="7"/>
        <v>março</v>
      </c>
      <c r="L489" s="4">
        <v>43547</v>
      </c>
      <c r="M489" s="2">
        <v>0.79097222222222219</v>
      </c>
      <c r="N489" s="1" t="s">
        <v>23</v>
      </c>
      <c r="O489" s="3">
        <v>1486</v>
      </c>
      <c r="P489">
        <v>4761904762</v>
      </c>
      <c r="Q489" s="3">
        <v>743</v>
      </c>
      <c r="R489">
        <v>83</v>
      </c>
      <c r="S489" s="3">
        <f>G489*SuperMarket_Analysis[[#This Row],[Quantity]]</f>
        <v>14860</v>
      </c>
    </row>
    <row r="490" spans="1:19" x14ac:dyDescent="0.25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177</v>
      </c>
      <c r="F490" s="1" t="s">
        <v>31</v>
      </c>
      <c r="G490" s="3">
        <v>2296</v>
      </c>
      <c r="H490">
        <v>1</v>
      </c>
      <c r="I490" s="3">
        <v>1148</v>
      </c>
      <c r="J490">
        <v>24108</v>
      </c>
      <c r="K490" t="str">
        <f t="shared" si="7"/>
        <v>janeiro</v>
      </c>
      <c r="L490" s="4">
        <v>43495</v>
      </c>
      <c r="M490" s="2">
        <v>0.86597222222222225</v>
      </c>
      <c r="N490" s="1" t="s">
        <v>29</v>
      </c>
      <c r="O490" s="3">
        <v>2296</v>
      </c>
      <c r="P490">
        <v>4761904762</v>
      </c>
      <c r="Q490" s="3">
        <v>1148</v>
      </c>
      <c r="R490">
        <v>43</v>
      </c>
      <c r="S490" s="3">
        <f>G490*SuperMarket_Analysis[[#This Row],[Quantity]]</f>
        <v>2296</v>
      </c>
    </row>
    <row r="491" spans="1:19" x14ac:dyDescent="0.25">
      <c r="A491" s="1" t="s">
        <v>525</v>
      </c>
      <c r="B491" s="1" t="s">
        <v>41</v>
      </c>
      <c r="C491" s="1" t="s">
        <v>42</v>
      </c>
      <c r="D491" s="1" t="s">
        <v>20</v>
      </c>
      <c r="E491" s="1" t="s">
        <v>21</v>
      </c>
      <c r="F491" s="1" t="s">
        <v>31</v>
      </c>
      <c r="G491" s="3">
        <v>7768</v>
      </c>
      <c r="H491">
        <v>9</v>
      </c>
      <c r="I491" s="3">
        <v>34956</v>
      </c>
      <c r="J491">
        <v>734076</v>
      </c>
      <c r="K491" t="str">
        <f t="shared" si="7"/>
        <v>fevereiro</v>
      </c>
      <c r="L491" s="4">
        <v>43500</v>
      </c>
      <c r="M491" s="2">
        <v>0.55625000000000002</v>
      </c>
      <c r="N491" s="1" t="s">
        <v>23</v>
      </c>
      <c r="O491" s="3">
        <v>69912</v>
      </c>
      <c r="P491">
        <v>4761904762</v>
      </c>
      <c r="Q491" s="3">
        <v>34956</v>
      </c>
      <c r="R491">
        <v>98</v>
      </c>
      <c r="S491" s="3">
        <f>G491*SuperMarket_Analysis[[#This Row],[Quantity]]</f>
        <v>69912</v>
      </c>
    </row>
    <row r="492" spans="1:19" x14ac:dyDescent="0.25">
      <c r="A492" s="1" t="s">
        <v>526</v>
      </c>
      <c r="B492" s="1" t="s">
        <v>41</v>
      </c>
      <c r="C492" s="1" t="s">
        <v>42</v>
      </c>
      <c r="D492" s="1" t="s">
        <v>27</v>
      </c>
      <c r="E492" s="1" t="s">
        <v>21</v>
      </c>
      <c r="F492" s="1" t="s">
        <v>45</v>
      </c>
      <c r="G492" s="3">
        <v>347</v>
      </c>
      <c r="H492">
        <v>2</v>
      </c>
      <c r="I492" s="3">
        <v>347</v>
      </c>
      <c r="J492">
        <v>7287</v>
      </c>
      <c r="K492" t="str">
        <f t="shared" si="7"/>
        <v>março</v>
      </c>
      <c r="L492" s="4">
        <v>43537</v>
      </c>
      <c r="M492" s="2">
        <v>0.82499999999999996</v>
      </c>
      <c r="N492" s="1" t="s">
        <v>23</v>
      </c>
      <c r="O492" s="3">
        <v>694</v>
      </c>
      <c r="P492">
        <v>4761904762</v>
      </c>
      <c r="Q492" s="3">
        <v>347</v>
      </c>
      <c r="R492">
        <v>82</v>
      </c>
      <c r="S492" s="3">
        <f>G492*SuperMarket_Analysis[[#This Row],[Quantity]]</f>
        <v>694</v>
      </c>
    </row>
    <row r="493" spans="1:19" x14ac:dyDescent="0.25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45</v>
      </c>
      <c r="G493" s="3">
        <v>1966</v>
      </c>
      <c r="H493">
        <v>10</v>
      </c>
      <c r="I493" s="3">
        <v>983</v>
      </c>
      <c r="J493">
        <v>20643</v>
      </c>
      <c r="K493" t="str">
        <f t="shared" si="7"/>
        <v>março</v>
      </c>
      <c r="L493" s="4">
        <v>43539</v>
      </c>
      <c r="M493" s="2">
        <v>0.76388888888888884</v>
      </c>
      <c r="N493" s="1" t="s">
        <v>32</v>
      </c>
      <c r="O493" s="3">
        <v>1966</v>
      </c>
      <c r="P493">
        <v>4761904762</v>
      </c>
      <c r="Q493" s="3">
        <v>983</v>
      </c>
      <c r="R493">
        <v>72</v>
      </c>
      <c r="S493" s="3">
        <f>G493*SuperMarket_Analysis[[#This Row],[Quantity]]</f>
        <v>19660</v>
      </c>
    </row>
    <row r="494" spans="1:19" x14ac:dyDescent="0.25">
      <c r="A494" s="1" t="s">
        <v>528</v>
      </c>
      <c r="B494" s="1" t="s">
        <v>41</v>
      </c>
      <c r="C494" s="1" t="s">
        <v>42</v>
      </c>
      <c r="D494" s="1" t="s">
        <v>20</v>
      </c>
      <c r="E494" s="1" t="s">
        <v>21</v>
      </c>
      <c r="F494" s="1" t="s">
        <v>22</v>
      </c>
      <c r="G494" s="3">
        <v>2532</v>
      </c>
      <c r="H494">
        <v>8</v>
      </c>
      <c r="I494" s="3">
        <v>10128</v>
      </c>
      <c r="J494">
        <v>212688</v>
      </c>
      <c r="K494" t="str">
        <f t="shared" si="7"/>
        <v>março</v>
      </c>
      <c r="L494" s="4">
        <v>43529</v>
      </c>
      <c r="M494" s="2">
        <v>0.85</v>
      </c>
      <c r="N494" s="1" t="s">
        <v>23</v>
      </c>
      <c r="O494" s="3">
        <v>20256</v>
      </c>
      <c r="P494">
        <v>4761904762</v>
      </c>
      <c r="Q494" s="3">
        <v>10128</v>
      </c>
      <c r="R494">
        <v>87</v>
      </c>
      <c r="S494" s="3">
        <f>G494*SuperMarket_Analysis[[#This Row],[Quantity]]</f>
        <v>20256</v>
      </c>
    </row>
    <row r="495" spans="1:19" x14ac:dyDescent="0.25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3">
        <v>1212</v>
      </c>
      <c r="H495">
        <v>10</v>
      </c>
      <c r="I495" s="3">
        <v>606</v>
      </c>
      <c r="J495">
        <v>12726</v>
      </c>
      <c r="K495" t="str">
        <f t="shared" si="7"/>
        <v>março</v>
      </c>
      <c r="L495" s="4">
        <v>43529</v>
      </c>
      <c r="M495" s="2">
        <v>0.57222222222222219</v>
      </c>
      <c r="N495" s="1" t="s">
        <v>32</v>
      </c>
      <c r="O495" s="3">
        <v>1212</v>
      </c>
      <c r="P495">
        <v>4761904762</v>
      </c>
      <c r="Q495" s="3">
        <v>606</v>
      </c>
      <c r="R495">
        <v>84</v>
      </c>
      <c r="S495" s="3">
        <f>G495*SuperMarket_Analysis[[#This Row],[Quantity]]</f>
        <v>12120</v>
      </c>
    </row>
    <row r="496" spans="1:19" x14ac:dyDescent="0.25">
      <c r="A496" s="1" t="s">
        <v>530</v>
      </c>
      <c r="B496" s="1" t="s">
        <v>41</v>
      </c>
      <c r="C496" s="1" t="s">
        <v>42</v>
      </c>
      <c r="D496" s="1" t="s">
        <v>27</v>
      </c>
      <c r="E496" s="1" t="s">
        <v>177</v>
      </c>
      <c r="F496" s="1" t="s">
        <v>45</v>
      </c>
      <c r="G496" s="3">
        <v>9989</v>
      </c>
      <c r="H496">
        <v>2</v>
      </c>
      <c r="I496" s="3">
        <v>9989</v>
      </c>
      <c r="J496">
        <v>209769</v>
      </c>
      <c r="K496" t="str">
        <f t="shared" si="7"/>
        <v>fevereiro</v>
      </c>
      <c r="L496" s="4">
        <v>43522</v>
      </c>
      <c r="M496" s="2">
        <v>0.49166666666666664</v>
      </c>
      <c r="N496" s="1" t="s">
        <v>23</v>
      </c>
      <c r="O496" s="3">
        <v>19978</v>
      </c>
      <c r="P496">
        <v>4761904762</v>
      </c>
      <c r="Q496" s="3">
        <v>9989</v>
      </c>
      <c r="R496">
        <v>71</v>
      </c>
      <c r="S496" s="3">
        <f>G496*SuperMarket_Analysis[[#This Row],[Quantity]]</f>
        <v>19978</v>
      </c>
    </row>
    <row r="497" spans="1:19" x14ac:dyDescent="0.25">
      <c r="A497" s="1" t="s">
        <v>531</v>
      </c>
      <c r="B497" s="1" t="s">
        <v>41</v>
      </c>
      <c r="C497" s="1" t="s">
        <v>42</v>
      </c>
      <c r="D497" s="1" t="s">
        <v>27</v>
      </c>
      <c r="E497" s="1" t="s">
        <v>177</v>
      </c>
      <c r="F497" s="1" t="s">
        <v>35</v>
      </c>
      <c r="G497" s="3">
        <v>7592</v>
      </c>
      <c r="H497">
        <v>8</v>
      </c>
      <c r="I497" s="3">
        <v>30368</v>
      </c>
      <c r="J497">
        <v>637728</v>
      </c>
      <c r="K497" t="str">
        <f t="shared" si="7"/>
        <v>março</v>
      </c>
      <c r="L497" s="4">
        <v>43544</v>
      </c>
      <c r="M497" s="2">
        <v>0.59305555555555556</v>
      </c>
      <c r="N497" s="1" t="s">
        <v>29</v>
      </c>
      <c r="O497" s="3">
        <v>60736</v>
      </c>
      <c r="P497">
        <v>4761904762</v>
      </c>
      <c r="Q497" s="3">
        <v>30368</v>
      </c>
      <c r="R497">
        <v>55</v>
      </c>
      <c r="S497" s="3">
        <f>G497*SuperMarket_Analysis[[#This Row],[Quantity]]</f>
        <v>60736</v>
      </c>
    </row>
    <row r="498" spans="1:19" x14ac:dyDescent="0.25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3">
        <v>6322</v>
      </c>
      <c r="H498">
        <v>2</v>
      </c>
      <c r="I498" s="3">
        <v>6322</v>
      </c>
      <c r="J498">
        <v>132762</v>
      </c>
      <c r="K498" t="str">
        <f t="shared" si="7"/>
        <v>janeiro</v>
      </c>
      <c r="L498" s="4">
        <v>43466</v>
      </c>
      <c r="M498" s="2">
        <v>0.66041666666666665</v>
      </c>
      <c r="N498" s="1" t="s">
        <v>29</v>
      </c>
      <c r="O498" s="3">
        <v>12644</v>
      </c>
      <c r="P498">
        <v>4761904762</v>
      </c>
      <c r="Q498" s="3">
        <v>6322</v>
      </c>
      <c r="R498">
        <v>85</v>
      </c>
      <c r="S498" s="3">
        <f>G498*SuperMarket_Analysis[[#This Row],[Quantity]]</f>
        <v>12644</v>
      </c>
    </row>
    <row r="499" spans="1:19" x14ac:dyDescent="0.25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43</v>
      </c>
      <c r="G499" s="3">
        <v>9024</v>
      </c>
      <c r="H499">
        <v>6</v>
      </c>
      <c r="I499" s="3">
        <v>27072</v>
      </c>
      <c r="J499">
        <v>568512</v>
      </c>
      <c r="K499" t="str">
        <f t="shared" si="7"/>
        <v>janeiro</v>
      </c>
      <c r="L499" s="4">
        <v>43492</v>
      </c>
      <c r="M499" s="2">
        <v>0.47013888888888888</v>
      </c>
      <c r="N499" s="1" t="s">
        <v>29</v>
      </c>
      <c r="O499" s="3">
        <v>54144</v>
      </c>
      <c r="P499">
        <v>4761904762</v>
      </c>
      <c r="Q499" s="3">
        <v>27072</v>
      </c>
      <c r="R499">
        <v>62</v>
      </c>
      <c r="S499" s="3">
        <f>G499*SuperMarket_Analysis[[#This Row],[Quantity]]</f>
        <v>54144</v>
      </c>
    </row>
    <row r="500" spans="1:19" x14ac:dyDescent="0.25">
      <c r="A500" s="1" t="s">
        <v>534</v>
      </c>
      <c r="B500" s="1" t="s">
        <v>41</v>
      </c>
      <c r="C500" s="1" t="s">
        <v>42</v>
      </c>
      <c r="D500" s="1" t="s">
        <v>20</v>
      </c>
      <c r="E500" s="1" t="s">
        <v>21</v>
      </c>
      <c r="F500" s="1" t="s">
        <v>35</v>
      </c>
      <c r="G500" s="3">
        <v>9813</v>
      </c>
      <c r="H500">
        <v>1</v>
      </c>
      <c r="I500" s="3">
        <v>49065</v>
      </c>
      <c r="J500">
        <v>1030365</v>
      </c>
      <c r="K500" t="str">
        <f t="shared" si="7"/>
        <v>janeiro</v>
      </c>
      <c r="L500" s="4">
        <v>43486</v>
      </c>
      <c r="M500" s="2">
        <v>0.73333333333333328</v>
      </c>
      <c r="N500" s="1" t="s">
        <v>29</v>
      </c>
      <c r="O500" s="3">
        <v>9813</v>
      </c>
      <c r="P500">
        <v>4761904762</v>
      </c>
      <c r="Q500" s="3">
        <v>49065</v>
      </c>
      <c r="R500">
        <v>89</v>
      </c>
      <c r="S500" s="3">
        <f>G500*SuperMarket_Analysis[[#This Row],[Quantity]]</f>
        <v>9813</v>
      </c>
    </row>
    <row r="501" spans="1:19" x14ac:dyDescent="0.25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35</v>
      </c>
      <c r="G501" s="3">
        <v>5152</v>
      </c>
      <c r="H501">
        <v>8</v>
      </c>
      <c r="I501" s="3">
        <v>20608</v>
      </c>
      <c r="J501">
        <v>432768</v>
      </c>
      <c r="K501" t="str">
        <f t="shared" si="7"/>
        <v>fevereiro</v>
      </c>
      <c r="L501" s="4">
        <v>43498</v>
      </c>
      <c r="M501" s="2">
        <v>0.65763888888888888</v>
      </c>
      <c r="N501" s="1" t="s">
        <v>29</v>
      </c>
      <c r="O501" s="3">
        <v>41216</v>
      </c>
      <c r="P501">
        <v>4761904762</v>
      </c>
      <c r="Q501" s="3">
        <v>20608</v>
      </c>
      <c r="R501">
        <v>96</v>
      </c>
      <c r="S501" s="3">
        <f>G501*SuperMarket_Analysis[[#This Row],[Quantity]]</f>
        <v>41216</v>
      </c>
    </row>
    <row r="502" spans="1:19" x14ac:dyDescent="0.25">
      <c r="A502" s="1" t="s">
        <v>536</v>
      </c>
      <c r="B502" s="1" t="s">
        <v>41</v>
      </c>
      <c r="C502" s="1" t="s">
        <v>42</v>
      </c>
      <c r="D502" s="1" t="s">
        <v>20</v>
      </c>
      <c r="E502" s="1" t="s">
        <v>177</v>
      </c>
      <c r="F502" s="1" t="s">
        <v>35</v>
      </c>
      <c r="G502" s="3">
        <v>7397</v>
      </c>
      <c r="H502">
        <v>1</v>
      </c>
      <c r="I502" s="3">
        <v>36985</v>
      </c>
      <c r="J502">
        <v>776685</v>
      </c>
      <c r="K502" t="str">
        <f t="shared" si="7"/>
        <v>fevereiro</v>
      </c>
      <c r="L502" s="4">
        <v>43499</v>
      </c>
      <c r="M502" s="2">
        <v>0.66180555555555554</v>
      </c>
      <c r="N502" s="1" t="s">
        <v>32</v>
      </c>
      <c r="O502" s="3">
        <v>7397</v>
      </c>
      <c r="P502">
        <v>4761904762</v>
      </c>
      <c r="Q502" s="3">
        <v>36985</v>
      </c>
      <c r="R502">
        <v>54</v>
      </c>
      <c r="S502" s="3">
        <f>G502*SuperMarket_Analysis[[#This Row],[Quantity]]</f>
        <v>7397</v>
      </c>
    </row>
    <row r="503" spans="1:19" x14ac:dyDescent="0.25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45</v>
      </c>
      <c r="G503" s="3">
        <v>319</v>
      </c>
      <c r="H503">
        <v>1</v>
      </c>
      <c r="I503" s="3">
        <v>1595</v>
      </c>
      <c r="J503">
        <v>33495</v>
      </c>
      <c r="K503" t="str">
        <f t="shared" si="7"/>
        <v>janeiro</v>
      </c>
      <c r="L503" s="4">
        <v>43470</v>
      </c>
      <c r="M503" s="2">
        <v>0.52777777777777779</v>
      </c>
      <c r="N503" s="1" t="s">
        <v>23</v>
      </c>
      <c r="O503" s="3">
        <v>319</v>
      </c>
      <c r="P503">
        <v>4761904762</v>
      </c>
      <c r="Q503" s="3">
        <v>1595</v>
      </c>
      <c r="R503">
        <v>91</v>
      </c>
      <c r="S503" s="3">
        <f>G503*SuperMarket_Analysis[[#This Row],[Quantity]]</f>
        <v>319</v>
      </c>
    </row>
    <row r="504" spans="1:19" x14ac:dyDescent="0.25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177</v>
      </c>
      <c r="F504" s="1" t="s">
        <v>31</v>
      </c>
      <c r="G504" s="3">
        <v>694</v>
      </c>
      <c r="H504">
        <v>2</v>
      </c>
      <c r="I504" s="3">
        <v>694</v>
      </c>
      <c r="J504">
        <v>14574</v>
      </c>
      <c r="K504" t="str">
        <f t="shared" si="7"/>
        <v>janeiro</v>
      </c>
      <c r="L504" s="4">
        <v>43492</v>
      </c>
      <c r="M504" s="2">
        <v>0.82499999999999996</v>
      </c>
      <c r="N504" s="1" t="s">
        <v>23</v>
      </c>
      <c r="O504" s="3">
        <v>1388</v>
      </c>
      <c r="P504">
        <v>4761904762</v>
      </c>
      <c r="Q504" s="3">
        <v>694</v>
      </c>
      <c r="R504">
        <v>9</v>
      </c>
      <c r="S504" s="3">
        <f>G504*SuperMarket_Analysis[[#This Row],[Quantity]]</f>
        <v>1388</v>
      </c>
    </row>
    <row r="505" spans="1:19" x14ac:dyDescent="0.25">
      <c r="A505" s="1" t="s">
        <v>539</v>
      </c>
      <c r="B505" s="1" t="s">
        <v>41</v>
      </c>
      <c r="C505" s="1" t="s">
        <v>42</v>
      </c>
      <c r="D505" s="1" t="s">
        <v>27</v>
      </c>
      <c r="E505" s="1" t="s">
        <v>21</v>
      </c>
      <c r="F505" s="1" t="s">
        <v>35</v>
      </c>
      <c r="G505" s="3">
        <v>9331</v>
      </c>
      <c r="H505">
        <v>2</v>
      </c>
      <c r="I505" s="3">
        <v>9331</v>
      </c>
      <c r="J505">
        <v>195951</v>
      </c>
      <c r="K505" t="str">
        <f t="shared" si="7"/>
        <v>março</v>
      </c>
      <c r="L505" s="4">
        <v>43549</v>
      </c>
      <c r="M505" s="2">
        <v>0.74513888888888891</v>
      </c>
      <c r="N505" s="1" t="s">
        <v>29</v>
      </c>
      <c r="O505" s="3">
        <v>18662</v>
      </c>
      <c r="P505">
        <v>4761904762</v>
      </c>
      <c r="Q505" s="3">
        <v>9331</v>
      </c>
      <c r="R505">
        <v>63</v>
      </c>
      <c r="S505" s="3">
        <f>G505*SuperMarket_Analysis[[#This Row],[Quantity]]</f>
        <v>18662</v>
      </c>
    </row>
    <row r="506" spans="1:19" x14ac:dyDescent="0.25">
      <c r="A506" s="1" t="s">
        <v>540</v>
      </c>
      <c r="B506" s="1" t="s">
        <v>41</v>
      </c>
      <c r="C506" s="1" t="s">
        <v>42</v>
      </c>
      <c r="D506" s="1" t="s">
        <v>27</v>
      </c>
      <c r="E506" s="1" t="s">
        <v>177</v>
      </c>
      <c r="F506" s="1" t="s">
        <v>35</v>
      </c>
      <c r="G506" s="3">
        <v>8845</v>
      </c>
      <c r="H506">
        <v>1</v>
      </c>
      <c r="I506" s="3">
        <v>44225</v>
      </c>
      <c r="J506">
        <v>928725</v>
      </c>
      <c r="K506" t="str">
        <f t="shared" si="7"/>
        <v>fevereiro</v>
      </c>
      <c r="L506" s="4">
        <v>43521</v>
      </c>
      <c r="M506" s="2">
        <v>0.69166666666666665</v>
      </c>
      <c r="N506" s="1" t="s">
        <v>32</v>
      </c>
      <c r="O506" s="3">
        <v>8845</v>
      </c>
      <c r="P506">
        <v>4761904762</v>
      </c>
      <c r="Q506" s="3">
        <v>44225</v>
      </c>
      <c r="R506">
        <v>95</v>
      </c>
      <c r="S506" s="3">
        <f>G506*SuperMarket_Analysis[[#This Row],[Quantity]]</f>
        <v>8845</v>
      </c>
    </row>
    <row r="507" spans="1:19" x14ac:dyDescent="0.25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177</v>
      </c>
      <c r="F507" s="1" t="s">
        <v>28</v>
      </c>
      <c r="G507" s="3">
        <v>2418</v>
      </c>
      <c r="H507">
        <v>8</v>
      </c>
      <c r="I507" s="3">
        <v>9672</v>
      </c>
      <c r="J507">
        <v>203112</v>
      </c>
      <c r="K507" t="str">
        <f t="shared" si="7"/>
        <v>janeiro</v>
      </c>
      <c r="L507" s="4">
        <v>43493</v>
      </c>
      <c r="M507" s="2">
        <v>0.87083333333333335</v>
      </c>
      <c r="N507" s="1" t="s">
        <v>23</v>
      </c>
      <c r="O507" s="3">
        <v>19344</v>
      </c>
      <c r="P507">
        <v>4761904762</v>
      </c>
      <c r="Q507" s="3">
        <v>9672</v>
      </c>
      <c r="R507">
        <v>98</v>
      </c>
      <c r="S507" s="3">
        <f>G507*SuperMarket_Analysis[[#This Row],[Quantity]]</f>
        <v>19344</v>
      </c>
    </row>
    <row r="508" spans="1:19" x14ac:dyDescent="0.25">
      <c r="A508" s="1" t="s">
        <v>542</v>
      </c>
      <c r="B508" s="1" t="s">
        <v>41</v>
      </c>
      <c r="C508" s="1" t="s">
        <v>42</v>
      </c>
      <c r="D508" s="1" t="s">
        <v>20</v>
      </c>
      <c r="E508" s="1" t="s">
        <v>21</v>
      </c>
      <c r="F508" s="1" t="s">
        <v>35</v>
      </c>
      <c r="G508" s="3">
        <v>485</v>
      </c>
      <c r="H508">
        <v>3</v>
      </c>
      <c r="I508" s="3">
        <v>7275</v>
      </c>
      <c r="J508">
        <v>152775</v>
      </c>
      <c r="K508" t="str">
        <f t="shared" si="7"/>
        <v>janeiro</v>
      </c>
      <c r="L508" s="4">
        <v>43473</v>
      </c>
      <c r="M508" s="2">
        <v>0.53472222222222221</v>
      </c>
      <c r="N508" s="1" t="s">
        <v>29</v>
      </c>
      <c r="O508" s="3">
        <v>1455</v>
      </c>
      <c r="P508">
        <v>4761904762</v>
      </c>
      <c r="Q508" s="3">
        <v>7275</v>
      </c>
      <c r="R508">
        <v>67</v>
      </c>
      <c r="S508" s="3">
        <f>G508*SuperMarket_Analysis[[#This Row],[Quantity]]</f>
        <v>1455</v>
      </c>
    </row>
    <row r="509" spans="1:19" x14ac:dyDescent="0.25">
      <c r="A509" s="1" t="s">
        <v>543</v>
      </c>
      <c r="B509" s="1" t="s">
        <v>41</v>
      </c>
      <c r="C509" s="1" t="s">
        <v>42</v>
      </c>
      <c r="D509" s="1" t="s">
        <v>27</v>
      </c>
      <c r="E509" s="1" t="s">
        <v>21</v>
      </c>
      <c r="F509" s="1" t="s">
        <v>43</v>
      </c>
      <c r="G509" s="3">
        <v>8405</v>
      </c>
      <c r="H509">
        <v>6</v>
      </c>
      <c r="I509" s="3">
        <v>25215</v>
      </c>
      <c r="J509">
        <v>529515</v>
      </c>
      <c r="K509" t="str">
        <f t="shared" si="7"/>
        <v>janeiro</v>
      </c>
      <c r="L509" s="4">
        <v>43494</v>
      </c>
      <c r="M509" s="2">
        <v>0.45</v>
      </c>
      <c r="N509" s="1" t="s">
        <v>32</v>
      </c>
      <c r="O509" s="3">
        <v>5043</v>
      </c>
      <c r="P509">
        <v>4761904762</v>
      </c>
      <c r="Q509" s="3">
        <v>25215</v>
      </c>
      <c r="R509">
        <v>77</v>
      </c>
      <c r="S509" s="3">
        <f>G509*SuperMarket_Analysis[[#This Row],[Quantity]]</f>
        <v>50430</v>
      </c>
    </row>
    <row r="510" spans="1:19" x14ac:dyDescent="0.25">
      <c r="A510" s="1" t="s">
        <v>544</v>
      </c>
      <c r="B510" s="1" t="s">
        <v>41</v>
      </c>
      <c r="C510" s="1" t="s">
        <v>42</v>
      </c>
      <c r="D510" s="1" t="s">
        <v>20</v>
      </c>
      <c r="E510" s="1" t="s">
        <v>177</v>
      </c>
      <c r="F510" s="1" t="s">
        <v>22</v>
      </c>
      <c r="G510" s="3">
        <v>6129</v>
      </c>
      <c r="H510">
        <v>5</v>
      </c>
      <c r="I510" s="3">
        <v>153225</v>
      </c>
      <c r="J510">
        <v>3217725</v>
      </c>
      <c r="K510" t="str">
        <f t="shared" si="7"/>
        <v>março</v>
      </c>
      <c r="L510" s="4">
        <v>43553</v>
      </c>
      <c r="M510" s="2">
        <v>0.60277777777777775</v>
      </c>
      <c r="N510" s="1" t="s">
        <v>29</v>
      </c>
      <c r="O510" s="3">
        <v>30645</v>
      </c>
      <c r="P510">
        <v>4761904762</v>
      </c>
      <c r="Q510" s="3">
        <v>153225</v>
      </c>
      <c r="R510">
        <v>7</v>
      </c>
      <c r="S510" s="3">
        <f>G510*SuperMarket_Analysis[[#This Row],[Quantity]]</f>
        <v>30645</v>
      </c>
    </row>
    <row r="511" spans="1:19" x14ac:dyDescent="0.25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3">
        <v>1595</v>
      </c>
      <c r="H511">
        <v>6</v>
      </c>
      <c r="I511" s="3">
        <v>4785</v>
      </c>
      <c r="J511">
        <v>100485</v>
      </c>
      <c r="K511" t="str">
        <f t="shared" si="7"/>
        <v>fevereiro</v>
      </c>
      <c r="L511" s="4">
        <v>43505</v>
      </c>
      <c r="M511" s="2">
        <v>0.71875</v>
      </c>
      <c r="N511" s="1" t="s">
        <v>32</v>
      </c>
      <c r="O511" s="3">
        <v>957</v>
      </c>
      <c r="P511">
        <v>4761904762</v>
      </c>
      <c r="Q511" s="3">
        <v>4785</v>
      </c>
      <c r="R511">
        <v>51</v>
      </c>
      <c r="S511" s="3">
        <f>G511*SuperMarket_Analysis[[#This Row],[Quantity]]</f>
        <v>9570</v>
      </c>
    </row>
    <row r="512" spans="1:19" x14ac:dyDescent="0.25">
      <c r="A512" s="1" t="s">
        <v>546</v>
      </c>
      <c r="B512" s="1" t="s">
        <v>41</v>
      </c>
      <c r="C512" s="1" t="s">
        <v>42</v>
      </c>
      <c r="D512" s="1" t="s">
        <v>20</v>
      </c>
      <c r="E512" s="1" t="s">
        <v>21</v>
      </c>
      <c r="F512" s="1" t="s">
        <v>35</v>
      </c>
      <c r="G512" s="3">
        <v>9074</v>
      </c>
      <c r="H512">
        <v>7</v>
      </c>
      <c r="I512" s="3">
        <v>31759</v>
      </c>
      <c r="J512">
        <v>666939</v>
      </c>
      <c r="K512" t="str">
        <f t="shared" si="7"/>
        <v>janeiro</v>
      </c>
      <c r="L512" s="4">
        <v>43481</v>
      </c>
      <c r="M512" s="2">
        <v>0.75208333333333333</v>
      </c>
      <c r="N512" s="1" t="s">
        <v>32</v>
      </c>
      <c r="O512" s="3">
        <v>63518</v>
      </c>
      <c r="P512">
        <v>4761904762</v>
      </c>
      <c r="Q512" s="3">
        <v>31759</v>
      </c>
      <c r="R512">
        <v>62</v>
      </c>
      <c r="S512" s="3">
        <f>G512*SuperMarket_Analysis[[#This Row],[Quantity]]</f>
        <v>63518</v>
      </c>
    </row>
    <row r="513" spans="1:19" x14ac:dyDescent="0.25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3">
        <v>4291</v>
      </c>
      <c r="H513">
        <v>5</v>
      </c>
      <c r="I513" s="3">
        <v>107275</v>
      </c>
      <c r="J513">
        <v>2252775</v>
      </c>
      <c r="K513" t="str">
        <f t="shared" si="7"/>
        <v>janeiro</v>
      </c>
      <c r="L513" s="4">
        <v>43470</v>
      </c>
      <c r="M513" s="2">
        <v>0.72847222222222219</v>
      </c>
      <c r="N513" s="1" t="s">
        <v>23</v>
      </c>
      <c r="O513" s="3">
        <v>21455</v>
      </c>
      <c r="P513">
        <v>4761904762</v>
      </c>
      <c r="Q513" s="3">
        <v>107275</v>
      </c>
      <c r="R513">
        <v>61</v>
      </c>
      <c r="S513" s="3">
        <f>G513*SuperMarket_Analysis[[#This Row],[Quantity]]</f>
        <v>21455</v>
      </c>
    </row>
    <row r="514" spans="1:19" x14ac:dyDescent="0.25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45</v>
      </c>
      <c r="G514" s="3">
        <v>5428</v>
      </c>
      <c r="H514">
        <v>7</v>
      </c>
      <c r="I514" s="3">
        <v>18998</v>
      </c>
      <c r="J514">
        <v>398958</v>
      </c>
      <c r="K514" t="str">
        <f t="shared" ref="K514:K577" si="8">TEXT(L514, "mmmm")</f>
        <v>janeiro</v>
      </c>
      <c r="L514" s="4">
        <v>43492</v>
      </c>
      <c r="M514" s="2">
        <v>0.75347222222222221</v>
      </c>
      <c r="N514" s="1" t="s">
        <v>23</v>
      </c>
      <c r="O514" s="3">
        <v>37996</v>
      </c>
      <c r="P514">
        <v>4761904762</v>
      </c>
      <c r="Q514" s="3">
        <v>18998</v>
      </c>
      <c r="R514">
        <v>93</v>
      </c>
      <c r="S514" s="3">
        <f>G514*SuperMarket_Analysis[[#This Row],[Quantity]]</f>
        <v>37996</v>
      </c>
    </row>
    <row r="515" spans="1:19" x14ac:dyDescent="0.25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177</v>
      </c>
      <c r="F515" s="1" t="s">
        <v>28</v>
      </c>
      <c r="G515" s="3">
        <v>9955</v>
      </c>
      <c r="H515">
        <v>7</v>
      </c>
      <c r="I515" s="3">
        <v>348425</v>
      </c>
      <c r="J515">
        <v>7316925</v>
      </c>
      <c r="K515" t="str">
        <f t="shared" si="8"/>
        <v>março</v>
      </c>
      <c r="L515" s="4">
        <v>43538</v>
      </c>
      <c r="M515" s="2">
        <v>0.50486111111111109</v>
      </c>
      <c r="N515" s="1" t="s">
        <v>29</v>
      </c>
      <c r="O515" s="3">
        <v>69685</v>
      </c>
      <c r="P515">
        <v>4761904762</v>
      </c>
      <c r="Q515" s="3">
        <v>348425</v>
      </c>
      <c r="R515">
        <v>76</v>
      </c>
      <c r="S515" s="3">
        <f>G515*SuperMarket_Analysis[[#This Row],[Quantity]]</f>
        <v>69685</v>
      </c>
    </row>
    <row r="516" spans="1:19" x14ac:dyDescent="0.25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177</v>
      </c>
      <c r="F516" s="1" t="s">
        <v>35</v>
      </c>
      <c r="G516" s="3">
        <v>5839</v>
      </c>
      <c r="H516">
        <v>7</v>
      </c>
      <c r="I516" s="3">
        <v>204365</v>
      </c>
      <c r="J516">
        <v>4291665</v>
      </c>
      <c r="K516" t="str">
        <f t="shared" si="8"/>
        <v>fevereiro</v>
      </c>
      <c r="L516" s="4">
        <v>43519</v>
      </c>
      <c r="M516" s="2">
        <v>0.8256944444444444</v>
      </c>
      <c r="N516" s="1" t="s">
        <v>32</v>
      </c>
      <c r="O516" s="3">
        <v>40873</v>
      </c>
      <c r="P516">
        <v>4761904762</v>
      </c>
      <c r="Q516" s="3">
        <v>204365</v>
      </c>
      <c r="R516">
        <v>82</v>
      </c>
      <c r="S516" s="3">
        <f>G516*SuperMarket_Analysis[[#This Row],[Quantity]]</f>
        <v>40873</v>
      </c>
    </row>
    <row r="517" spans="1:19" x14ac:dyDescent="0.25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45</v>
      </c>
      <c r="G517" s="3">
        <v>5147</v>
      </c>
      <c r="H517">
        <v>1</v>
      </c>
      <c r="I517" s="3">
        <v>25735</v>
      </c>
      <c r="J517">
        <v>540435</v>
      </c>
      <c r="K517" t="str">
        <f t="shared" si="8"/>
        <v>março</v>
      </c>
      <c r="L517" s="4">
        <v>43542</v>
      </c>
      <c r="M517" s="2">
        <v>0.66111111111111109</v>
      </c>
      <c r="N517" s="1" t="s">
        <v>23</v>
      </c>
      <c r="O517" s="3">
        <v>5147</v>
      </c>
      <c r="P517">
        <v>4761904762</v>
      </c>
      <c r="Q517" s="3">
        <v>25735</v>
      </c>
      <c r="R517">
        <v>85</v>
      </c>
      <c r="S517" s="3">
        <f>G517*SuperMarket_Analysis[[#This Row],[Quantity]]</f>
        <v>5147</v>
      </c>
    </row>
    <row r="518" spans="1:19" x14ac:dyDescent="0.25">
      <c r="A518" s="1" t="s">
        <v>552</v>
      </c>
      <c r="B518" s="1" t="s">
        <v>41</v>
      </c>
      <c r="C518" s="1" t="s">
        <v>42</v>
      </c>
      <c r="D518" s="1" t="s">
        <v>20</v>
      </c>
      <c r="E518" s="1" t="s">
        <v>177</v>
      </c>
      <c r="F518" s="1" t="s">
        <v>22</v>
      </c>
      <c r="G518" s="3">
        <v>5486</v>
      </c>
      <c r="H518">
        <v>5</v>
      </c>
      <c r="I518" s="3">
        <v>13715</v>
      </c>
      <c r="J518">
        <v>288015</v>
      </c>
      <c r="K518" t="str">
        <f t="shared" si="8"/>
        <v>março</v>
      </c>
      <c r="L518" s="4">
        <v>43553</v>
      </c>
      <c r="M518" s="2">
        <v>0.7</v>
      </c>
      <c r="N518" s="1" t="s">
        <v>23</v>
      </c>
      <c r="O518" s="3">
        <v>2743</v>
      </c>
      <c r="P518">
        <v>4761904762</v>
      </c>
      <c r="Q518" s="3">
        <v>13715</v>
      </c>
      <c r="R518">
        <v>98</v>
      </c>
      <c r="S518" s="3">
        <f>G518*SuperMarket_Analysis[[#This Row],[Quantity]]</f>
        <v>27430</v>
      </c>
    </row>
    <row r="519" spans="1:19" x14ac:dyDescent="0.25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177</v>
      </c>
      <c r="F519" s="1" t="s">
        <v>31</v>
      </c>
      <c r="G519" s="3">
        <v>3939</v>
      </c>
      <c r="H519">
        <v>5</v>
      </c>
      <c r="I519" s="3">
        <v>98475</v>
      </c>
      <c r="J519">
        <v>2067975</v>
      </c>
      <c r="K519" t="str">
        <f t="shared" si="8"/>
        <v>janeiro</v>
      </c>
      <c r="L519" s="4">
        <v>43487</v>
      </c>
      <c r="M519" s="2">
        <v>0.86527777777777781</v>
      </c>
      <c r="N519" s="1" t="s">
        <v>32</v>
      </c>
      <c r="O519" s="3">
        <v>19695</v>
      </c>
      <c r="P519">
        <v>4761904762</v>
      </c>
      <c r="Q519" s="3">
        <v>98475</v>
      </c>
      <c r="R519">
        <v>87</v>
      </c>
      <c r="S519" s="3">
        <f>G519*SuperMarket_Analysis[[#This Row],[Quantity]]</f>
        <v>19695</v>
      </c>
    </row>
    <row r="520" spans="1:19" x14ac:dyDescent="0.25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177</v>
      </c>
      <c r="F520" s="1" t="s">
        <v>31</v>
      </c>
      <c r="G520" s="3">
        <v>3473</v>
      </c>
      <c r="H520">
        <v>2</v>
      </c>
      <c r="I520" s="3">
        <v>3473</v>
      </c>
      <c r="J520">
        <v>72933</v>
      </c>
      <c r="K520" t="str">
        <f t="shared" si="8"/>
        <v>março</v>
      </c>
      <c r="L520" s="4">
        <v>43525</v>
      </c>
      <c r="M520" s="2">
        <v>0.75972222222222219</v>
      </c>
      <c r="N520" s="1" t="s">
        <v>23</v>
      </c>
      <c r="O520" s="3">
        <v>6946</v>
      </c>
      <c r="P520">
        <v>4761904762</v>
      </c>
      <c r="Q520" s="3">
        <v>3473</v>
      </c>
      <c r="R520">
        <v>97</v>
      </c>
      <c r="S520" s="3">
        <f>G520*SuperMarket_Analysis[[#This Row],[Quantity]]</f>
        <v>6946</v>
      </c>
    </row>
    <row r="521" spans="1:19" x14ac:dyDescent="0.25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177</v>
      </c>
      <c r="F521" s="1" t="s">
        <v>35</v>
      </c>
      <c r="G521" s="3">
        <v>7192</v>
      </c>
      <c r="H521">
        <v>5</v>
      </c>
      <c r="I521" s="3">
        <v>1798</v>
      </c>
      <c r="J521">
        <v>37758</v>
      </c>
      <c r="K521" t="str">
        <f t="shared" si="8"/>
        <v>janeiro</v>
      </c>
      <c r="L521" s="4">
        <v>43482</v>
      </c>
      <c r="M521" s="2">
        <v>0.62847222222222221</v>
      </c>
      <c r="N521" s="1" t="s">
        <v>32</v>
      </c>
      <c r="O521" s="3">
        <v>3596</v>
      </c>
      <c r="P521">
        <v>4761904762</v>
      </c>
      <c r="Q521" s="3">
        <v>1798</v>
      </c>
      <c r="R521">
        <v>43</v>
      </c>
      <c r="S521" s="3">
        <f>G521*SuperMarket_Analysis[[#This Row],[Quantity]]</f>
        <v>35960</v>
      </c>
    </row>
    <row r="522" spans="1:19" x14ac:dyDescent="0.25">
      <c r="A522" s="1" t="s">
        <v>556</v>
      </c>
      <c r="B522" s="1" t="s">
        <v>41</v>
      </c>
      <c r="C522" s="1" t="s">
        <v>42</v>
      </c>
      <c r="D522" s="1" t="s">
        <v>27</v>
      </c>
      <c r="E522" s="1" t="s">
        <v>21</v>
      </c>
      <c r="F522" s="1" t="s">
        <v>28</v>
      </c>
      <c r="G522" s="3">
        <v>4571</v>
      </c>
      <c r="H522">
        <v>3</v>
      </c>
      <c r="I522" s="3">
        <v>68565</v>
      </c>
      <c r="J522">
        <v>1439865</v>
      </c>
      <c r="K522" t="str">
        <f t="shared" si="8"/>
        <v>março</v>
      </c>
      <c r="L522" s="4">
        <v>43550</v>
      </c>
      <c r="M522" s="2">
        <v>0.44027777777777777</v>
      </c>
      <c r="N522" s="1" t="s">
        <v>32</v>
      </c>
      <c r="O522" s="3">
        <v>13713</v>
      </c>
      <c r="P522">
        <v>4761904762</v>
      </c>
      <c r="Q522" s="3">
        <v>68565</v>
      </c>
      <c r="R522">
        <v>77</v>
      </c>
      <c r="S522" s="3">
        <f>G522*SuperMarket_Analysis[[#This Row],[Quantity]]</f>
        <v>13713</v>
      </c>
    </row>
    <row r="523" spans="1:19" x14ac:dyDescent="0.25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3">
        <v>8317</v>
      </c>
      <c r="H523">
        <v>6</v>
      </c>
      <c r="I523" s="3">
        <v>24951</v>
      </c>
      <c r="J523">
        <v>523971</v>
      </c>
      <c r="K523" t="str">
        <f t="shared" si="8"/>
        <v>março</v>
      </c>
      <c r="L523" s="4">
        <v>43544</v>
      </c>
      <c r="M523" s="2">
        <v>0.47430555555555554</v>
      </c>
      <c r="N523" s="1" t="s">
        <v>29</v>
      </c>
      <c r="O523" s="3">
        <v>49902</v>
      </c>
      <c r="P523">
        <v>4761904762</v>
      </c>
      <c r="Q523" s="3">
        <v>24951</v>
      </c>
      <c r="R523">
        <v>73</v>
      </c>
      <c r="S523" s="3">
        <f>G523*SuperMarket_Analysis[[#This Row],[Quantity]]</f>
        <v>49902</v>
      </c>
    </row>
    <row r="524" spans="1:19" x14ac:dyDescent="0.25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3">
        <v>3744</v>
      </c>
      <c r="H524">
        <v>6</v>
      </c>
      <c r="I524" s="3">
        <v>11232</v>
      </c>
      <c r="J524">
        <v>235872</v>
      </c>
      <c r="K524" t="str">
        <f t="shared" si="8"/>
        <v>fevereiro</v>
      </c>
      <c r="L524" s="4">
        <v>43502</v>
      </c>
      <c r="M524" s="2">
        <v>0.57986111111111116</v>
      </c>
      <c r="N524" s="1" t="s">
        <v>32</v>
      </c>
      <c r="O524" s="3">
        <v>22464</v>
      </c>
      <c r="P524">
        <v>4761904762</v>
      </c>
      <c r="Q524" s="3">
        <v>11232</v>
      </c>
      <c r="R524">
        <v>59</v>
      </c>
      <c r="S524" s="3">
        <f>G524*SuperMarket_Analysis[[#This Row],[Quantity]]</f>
        <v>22464</v>
      </c>
    </row>
    <row r="525" spans="1:19" x14ac:dyDescent="0.25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177</v>
      </c>
      <c r="F525" s="1" t="s">
        <v>22</v>
      </c>
      <c r="G525" s="3">
        <v>6287</v>
      </c>
      <c r="H525">
        <v>2</v>
      </c>
      <c r="I525" s="3">
        <v>6287</v>
      </c>
      <c r="J525">
        <v>132027</v>
      </c>
      <c r="K525" t="str">
        <f t="shared" si="8"/>
        <v>janeiro</v>
      </c>
      <c r="L525" s="4">
        <v>43466</v>
      </c>
      <c r="M525" s="2">
        <v>0.48819444444444443</v>
      </c>
      <c r="N525" s="1" t="s">
        <v>29</v>
      </c>
      <c r="O525" s="3">
        <v>12574</v>
      </c>
      <c r="P525">
        <v>4761904762</v>
      </c>
      <c r="Q525" s="3">
        <v>6287</v>
      </c>
      <c r="R525">
        <v>5</v>
      </c>
      <c r="S525" s="3">
        <f>G525*SuperMarket_Analysis[[#This Row],[Quantity]]</f>
        <v>12574</v>
      </c>
    </row>
    <row r="526" spans="1:19" x14ac:dyDescent="0.25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177</v>
      </c>
      <c r="F526" s="1" t="s">
        <v>43</v>
      </c>
      <c r="G526" s="3">
        <v>8171</v>
      </c>
      <c r="H526">
        <v>6</v>
      </c>
      <c r="I526" s="3">
        <v>24513</v>
      </c>
      <c r="J526">
        <v>514773</v>
      </c>
      <c r="K526" t="str">
        <f t="shared" si="8"/>
        <v>janeiro</v>
      </c>
      <c r="L526" s="4">
        <v>43492</v>
      </c>
      <c r="M526" s="2">
        <v>0.60833333333333328</v>
      </c>
      <c r="N526" s="1" t="s">
        <v>32</v>
      </c>
      <c r="O526" s="3">
        <v>49026</v>
      </c>
      <c r="P526">
        <v>4761904762</v>
      </c>
      <c r="Q526" s="3">
        <v>24513</v>
      </c>
      <c r="R526">
        <v>8</v>
      </c>
      <c r="S526" s="3">
        <f>G526*SuperMarket_Analysis[[#This Row],[Quantity]]</f>
        <v>49026</v>
      </c>
    </row>
    <row r="527" spans="1:19" x14ac:dyDescent="0.25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35</v>
      </c>
      <c r="G527" s="3">
        <v>9141</v>
      </c>
      <c r="H527">
        <v>5</v>
      </c>
      <c r="I527" s="3">
        <v>228525</v>
      </c>
      <c r="J527">
        <v>4799025</v>
      </c>
      <c r="K527" t="str">
        <f t="shared" si="8"/>
        <v>fevereiro</v>
      </c>
      <c r="L527" s="4">
        <v>43521</v>
      </c>
      <c r="M527" s="2">
        <v>0.66874999999999996</v>
      </c>
      <c r="N527" s="1" t="s">
        <v>23</v>
      </c>
      <c r="O527" s="3">
        <v>45705</v>
      </c>
      <c r="P527">
        <v>4761904762</v>
      </c>
      <c r="Q527" s="3">
        <v>228525</v>
      </c>
      <c r="R527">
        <v>71</v>
      </c>
      <c r="S527" s="3">
        <f>G527*SuperMarket_Analysis[[#This Row],[Quantity]]</f>
        <v>45705</v>
      </c>
    </row>
    <row r="528" spans="1:19" x14ac:dyDescent="0.25">
      <c r="A528" s="1" t="s">
        <v>562</v>
      </c>
      <c r="B528" s="1" t="s">
        <v>41</v>
      </c>
      <c r="C528" s="1" t="s">
        <v>42</v>
      </c>
      <c r="D528" s="1" t="s">
        <v>27</v>
      </c>
      <c r="E528" s="1" t="s">
        <v>177</v>
      </c>
      <c r="F528" s="1" t="s">
        <v>45</v>
      </c>
      <c r="G528" s="3">
        <v>3921</v>
      </c>
      <c r="H528">
        <v>4</v>
      </c>
      <c r="I528" s="3">
        <v>7842</v>
      </c>
      <c r="J528">
        <v>164682</v>
      </c>
      <c r="K528" t="str">
        <f t="shared" si="8"/>
        <v>janeiro</v>
      </c>
      <c r="L528" s="4">
        <v>43481</v>
      </c>
      <c r="M528" s="2">
        <v>0.8354166666666667</v>
      </c>
      <c r="N528" s="1" t="s">
        <v>32</v>
      </c>
      <c r="O528" s="3">
        <v>15684</v>
      </c>
      <c r="P528">
        <v>4761904762</v>
      </c>
      <c r="Q528" s="3">
        <v>7842</v>
      </c>
      <c r="R528">
        <v>9</v>
      </c>
      <c r="S528" s="3">
        <f>G528*SuperMarket_Analysis[[#This Row],[Quantity]]</f>
        <v>15684</v>
      </c>
    </row>
    <row r="529" spans="1:19" x14ac:dyDescent="0.25">
      <c r="A529" s="1" t="s">
        <v>563</v>
      </c>
      <c r="B529" s="1" t="s">
        <v>41</v>
      </c>
      <c r="C529" s="1" t="s">
        <v>42</v>
      </c>
      <c r="D529" s="1" t="s">
        <v>20</v>
      </c>
      <c r="E529" s="1" t="s">
        <v>177</v>
      </c>
      <c r="F529" s="1" t="s">
        <v>45</v>
      </c>
      <c r="G529" s="3">
        <v>5986</v>
      </c>
      <c r="H529">
        <v>2</v>
      </c>
      <c r="I529" s="3">
        <v>5986</v>
      </c>
      <c r="J529">
        <v>125706</v>
      </c>
      <c r="K529" t="str">
        <f t="shared" si="8"/>
        <v>janeiro</v>
      </c>
      <c r="L529" s="4">
        <v>43478</v>
      </c>
      <c r="M529" s="2">
        <v>0.62152777777777779</v>
      </c>
      <c r="N529" s="1" t="s">
        <v>23</v>
      </c>
      <c r="O529" s="3">
        <v>11972</v>
      </c>
      <c r="P529">
        <v>4761904762</v>
      </c>
      <c r="Q529" s="3">
        <v>5986</v>
      </c>
      <c r="R529">
        <v>67</v>
      </c>
      <c r="S529" s="3">
        <f>G529*SuperMarket_Analysis[[#This Row],[Quantity]]</f>
        <v>11972</v>
      </c>
    </row>
    <row r="530" spans="1:19" x14ac:dyDescent="0.25">
      <c r="A530" s="1" t="s">
        <v>564</v>
      </c>
      <c r="B530" s="1" t="s">
        <v>41</v>
      </c>
      <c r="C530" s="1" t="s">
        <v>42</v>
      </c>
      <c r="D530" s="1" t="s">
        <v>20</v>
      </c>
      <c r="E530" s="1" t="s">
        <v>21</v>
      </c>
      <c r="F530" s="1" t="s">
        <v>43</v>
      </c>
      <c r="G530" s="3">
        <v>5436</v>
      </c>
      <c r="H530">
        <v>10</v>
      </c>
      <c r="I530" s="3">
        <v>2718</v>
      </c>
      <c r="J530">
        <v>57078</v>
      </c>
      <c r="K530" t="str">
        <f t="shared" si="8"/>
        <v>fevereiro</v>
      </c>
      <c r="L530" s="4">
        <v>43503</v>
      </c>
      <c r="M530" s="2">
        <v>0.4777777777777778</v>
      </c>
      <c r="N530" s="1" t="s">
        <v>32</v>
      </c>
      <c r="O530" s="3">
        <v>5436</v>
      </c>
      <c r="P530">
        <v>4761904762</v>
      </c>
      <c r="Q530" s="3">
        <v>2718</v>
      </c>
      <c r="R530">
        <v>61</v>
      </c>
      <c r="S530" s="3">
        <f>G530*SuperMarket_Analysis[[#This Row],[Quantity]]</f>
        <v>54360</v>
      </c>
    </row>
    <row r="531" spans="1:19" x14ac:dyDescent="0.25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177</v>
      </c>
      <c r="F531" s="1" t="s">
        <v>35</v>
      </c>
      <c r="G531" s="3">
        <v>9809</v>
      </c>
      <c r="H531">
        <v>9</v>
      </c>
      <c r="I531" s="3">
        <v>441405</v>
      </c>
      <c r="J531">
        <v>9269505</v>
      </c>
      <c r="K531" t="str">
        <f t="shared" si="8"/>
        <v>fevereiro</v>
      </c>
      <c r="L531" s="4">
        <v>43513</v>
      </c>
      <c r="M531" s="2">
        <v>0.82013888888888886</v>
      </c>
      <c r="N531" s="1" t="s">
        <v>29</v>
      </c>
      <c r="O531" s="3">
        <v>88281</v>
      </c>
      <c r="P531">
        <v>4761904762</v>
      </c>
      <c r="Q531" s="3">
        <v>441405</v>
      </c>
      <c r="R531">
        <v>93</v>
      </c>
      <c r="S531" s="3">
        <f>G531*SuperMarket_Analysis[[#This Row],[Quantity]]</f>
        <v>88281</v>
      </c>
    </row>
    <row r="532" spans="1:19" x14ac:dyDescent="0.25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177</v>
      </c>
      <c r="F532" s="1" t="s">
        <v>22</v>
      </c>
      <c r="G532" s="3">
        <v>2543</v>
      </c>
      <c r="H532">
        <v>6</v>
      </c>
      <c r="I532" s="3">
        <v>7629</v>
      </c>
      <c r="J532">
        <v>160209</v>
      </c>
      <c r="K532" t="str">
        <f t="shared" si="8"/>
        <v>fevereiro</v>
      </c>
      <c r="L532" s="4">
        <v>43508</v>
      </c>
      <c r="M532" s="2">
        <v>0.79236111111111107</v>
      </c>
      <c r="N532" s="1" t="s">
        <v>23</v>
      </c>
      <c r="O532" s="3">
        <v>15258</v>
      </c>
      <c r="P532">
        <v>4761904762</v>
      </c>
      <c r="Q532" s="3">
        <v>7629</v>
      </c>
      <c r="R532">
        <v>7</v>
      </c>
      <c r="S532" s="3">
        <f>G532*SuperMarket_Analysis[[#This Row],[Quantity]]</f>
        <v>15258</v>
      </c>
    </row>
    <row r="533" spans="1:19" x14ac:dyDescent="0.25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177</v>
      </c>
      <c r="F533" s="1" t="s">
        <v>45</v>
      </c>
      <c r="G533" s="3">
        <v>8668</v>
      </c>
      <c r="H533">
        <v>8</v>
      </c>
      <c r="I533" s="3">
        <v>34672</v>
      </c>
      <c r="J533">
        <v>728112</v>
      </c>
      <c r="K533" t="str">
        <f t="shared" si="8"/>
        <v>janeiro</v>
      </c>
      <c r="L533" s="4">
        <v>43489</v>
      </c>
      <c r="M533" s="2">
        <v>0.75277777777777777</v>
      </c>
      <c r="N533" s="1" t="s">
        <v>32</v>
      </c>
      <c r="O533" s="3">
        <v>69344</v>
      </c>
      <c r="P533">
        <v>4761904762</v>
      </c>
      <c r="Q533" s="3">
        <v>34672</v>
      </c>
      <c r="R533">
        <v>72</v>
      </c>
      <c r="S533" s="3">
        <f>G533*SuperMarket_Analysis[[#This Row],[Quantity]]</f>
        <v>69344</v>
      </c>
    </row>
    <row r="534" spans="1:19" x14ac:dyDescent="0.25">
      <c r="A534" s="1" t="s">
        <v>568</v>
      </c>
      <c r="B534" s="1" t="s">
        <v>41</v>
      </c>
      <c r="C534" s="1" t="s">
        <v>42</v>
      </c>
      <c r="D534" s="1" t="s">
        <v>27</v>
      </c>
      <c r="E534" s="1" t="s">
        <v>177</v>
      </c>
      <c r="F534" s="1" t="s">
        <v>28</v>
      </c>
      <c r="G534" s="3">
        <v>2295</v>
      </c>
      <c r="H534">
        <v>10</v>
      </c>
      <c r="I534" s="3">
        <v>11475</v>
      </c>
      <c r="J534">
        <v>240975</v>
      </c>
      <c r="K534" t="str">
        <f t="shared" si="8"/>
        <v>fevereiro</v>
      </c>
      <c r="L534" s="4">
        <v>43502</v>
      </c>
      <c r="M534" s="2">
        <v>0.80555555555555558</v>
      </c>
      <c r="N534" s="1" t="s">
        <v>23</v>
      </c>
      <c r="O534" s="3">
        <v>2295</v>
      </c>
      <c r="P534">
        <v>4761904762</v>
      </c>
      <c r="Q534" s="3">
        <v>11475</v>
      </c>
      <c r="R534">
        <v>82</v>
      </c>
      <c r="S534" s="3">
        <f>G534*SuperMarket_Analysis[[#This Row],[Quantity]]</f>
        <v>22950</v>
      </c>
    </row>
    <row r="535" spans="1:19" x14ac:dyDescent="0.25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43</v>
      </c>
      <c r="G535" s="3">
        <v>1631</v>
      </c>
      <c r="H535">
        <v>9</v>
      </c>
      <c r="I535" s="3">
        <v>73395</v>
      </c>
      <c r="J535">
        <v>1541295</v>
      </c>
      <c r="K535" t="str">
        <f t="shared" si="8"/>
        <v>março</v>
      </c>
      <c r="L535" s="4">
        <v>43550</v>
      </c>
      <c r="M535" s="2">
        <v>0.43819444444444444</v>
      </c>
      <c r="N535" s="1" t="s">
        <v>23</v>
      </c>
      <c r="O535" s="3">
        <v>14679</v>
      </c>
      <c r="P535">
        <v>4761904762</v>
      </c>
      <c r="Q535" s="3">
        <v>73395</v>
      </c>
      <c r="R535">
        <v>84</v>
      </c>
      <c r="S535" s="3">
        <f>G535*SuperMarket_Analysis[[#This Row],[Quantity]]</f>
        <v>14679</v>
      </c>
    </row>
    <row r="536" spans="1:19" x14ac:dyDescent="0.25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3">
        <v>2832</v>
      </c>
      <c r="H536">
        <v>5</v>
      </c>
      <c r="I536" s="3">
        <v>708</v>
      </c>
      <c r="J536">
        <v>14868</v>
      </c>
      <c r="K536" t="str">
        <f t="shared" si="8"/>
        <v>março</v>
      </c>
      <c r="L536" s="4">
        <v>43535</v>
      </c>
      <c r="M536" s="2">
        <v>0.56111111111111112</v>
      </c>
      <c r="N536" s="1" t="s">
        <v>23</v>
      </c>
      <c r="O536" s="3">
        <v>1416</v>
      </c>
      <c r="P536">
        <v>4761904762</v>
      </c>
      <c r="Q536" s="3">
        <v>708</v>
      </c>
      <c r="R536">
        <v>62</v>
      </c>
      <c r="S536" s="3">
        <f>G536*SuperMarket_Analysis[[#This Row],[Quantity]]</f>
        <v>14160</v>
      </c>
    </row>
    <row r="537" spans="1:19" x14ac:dyDescent="0.25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177</v>
      </c>
      <c r="F537" s="1" t="s">
        <v>31</v>
      </c>
      <c r="G537" s="3">
        <v>1667</v>
      </c>
      <c r="H537">
        <v>7</v>
      </c>
      <c r="I537" s="3">
        <v>58345</v>
      </c>
      <c r="J537">
        <v>1225245</v>
      </c>
      <c r="K537" t="str">
        <f t="shared" si="8"/>
        <v>fevereiro</v>
      </c>
      <c r="L537" s="4">
        <v>43503</v>
      </c>
      <c r="M537" s="2">
        <v>0.48333333333333334</v>
      </c>
      <c r="N537" s="1" t="s">
        <v>23</v>
      </c>
      <c r="O537" s="3">
        <v>11669</v>
      </c>
      <c r="P537">
        <v>4761904762</v>
      </c>
      <c r="Q537" s="3">
        <v>58345</v>
      </c>
      <c r="R537">
        <v>74</v>
      </c>
      <c r="S537" s="3">
        <f>G537*SuperMarket_Analysis[[#This Row],[Quantity]]</f>
        <v>11669</v>
      </c>
    </row>
    <row r="538" spans="1:19" x14ac:dyDescent="0.25">
      <c r="A538" s="1" t="s">
        <v>572</v>
      </c>
      <c r="B538" s="1" t="s">
        <v>41</v>
      </c>
      <c r="C538" s="1" t="s">
        <v>42</v>
      </c>
      <c r="D538" s="1" t="s">
        <v>20</v>
      </c>
      <c r="E538" s="1" t="s">
        <v>21</v>
      </c>
      <c r="F538" s="1" t="s">
        <v>45</v>
      </c>
      <c r="G538" s="3">
        <v>7396</v>
      </c>
      <c r="H538">
        <v>1</v>
      </c>
      <c r="I538" s="3">
        <v>3698</v>
      </c>
      <c r="J538">
        <v>77658</v>
      </c>
      <c r="K538" t="str">
        <f t="shared" si="8"/>
        <v>janeiro</v>
      </c>
      <c r="L538" s="4">
        <v>43470</v>
      </c>
      <c r="M538" s="2">
        <v>0.48055555555555557</v>
      </c>
      <c r="N538" s="1" t="s">
        <v>32</v>
      </c>
      <c r="O538" s="3">
        <v>7396</v>
      </c>
      <c r="P538">
        <v>4761904762</v>
      </c>
      <c r="Q538" s="3">
        <v>3698</v>
      </c>
      <c r="R538">
        <v>5</v>
      </c>
      <c r="S538" s="3">
        <f>G538*SuperMarket_Analysis[[#This Row],[Quantity]]</f>
        <v>7396</v>
      </c>
    </row>
    <row r="539" spans="1:19" x14ac:dyDescent="0.25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177</v>
      </c>
      <c r="F539" s="1" t="s">
        <v>31</v>
      </c>
      <c r="G539" s="3">
        <v>9794</v>
      </c>
      <c r="H539">
        <v>1</v>
      </c>
      <c r="I539" s="3">
        <v>4897</v>
      </c>
      <c r="J539">
        <v>102837</v>
      </c>
      <c r="K539" t="str">
        <f t="shared" si="8"/>
        <v>março</v>
      </c>
      <c r="L539" s="4">
        <v>43531</v>
      </c>
      <c r="M539" s="2">
        <v>0.48888888888888887</v>
      </c>
      <c r="N539" s="1" t="s">
        <v>23</v>
      </c>
      <c r="O539" s="3">
        <v>9794</v>
      </c>
      <c r="P539">
        <v>4761904762</v>
      </c>
      <c r="Q539" s="3">
        <v>4897</v>
      </c>
      <c r="R539">
        <v>69</v>
      </c>
      <c r="S539" s="3">
        <f>G539*SuperMarket_Analysis[[#This Row],[Quantity]]</f>
        <v>9794</v>
      </c>
    </row>
    <row r="540" spans="1:19" x14ac:dyDescent="0.25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45</v>
      </c>
      <c r="G540" s="3">
        <v>7305</v>
      </c>
      <c r="H540">
        <v>4</v>
      </c>
      <c r="I540" s="3">
        <v>1461</v>
      </c>
      <c r="J540">
        <v>30681</v>
      </c>
      <c r="K540" t="str">
        <f t="shared" si="8"/>
        <v>fevereiro</v>
      </c>
      <c r="L540" s="4">
        <v>43521</v>
      </c>
      <c r="M540" s="2">
        <v>0.71944444444444444</v>
      </c>
      <c r="N540" s="1" t="s">
        <v>32</v>
      </c>
      <c r="O540" s="3">
        <v>2922</v>
      </c>
      <c r="P540">
        <v>4761904762</v>
      </c>
      <c r="Q540" s="3">
        <v>1461</v>
      </c>
      <c r="R540">
        <v>49</v>
      </c>
      <c r="S540" s="3">
        <f>G540*SuperMarket_Analysis[[#This Row],[Quantity]]</f>
        <v>29220</v>
      </c>
    </row>
    <row r="541" spans="1:19" x14ac:dyDescent="0.25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43</v>
      </c>
      <c r="G541" s="3">
        <v>8748</v>
      </c>
      <c r="H541">
        <v>6</v>
      </c>
      <c r="I541" s="3">
        <v>26244</v>
      </c>
      <c r="J541">
        <v>551124</v>
      </c>
      <c r="K541" t="str">
        <f t="shared" si="8"/>
        <v>fevereiro</v>
      </c>
      <c r="L541" s="4">
        <v>43497</v>
      </c>
      <c r="M541" s="2">
        <v>0.77986111111111112</v>
      </c>
      <c r="N541" s="1" t="s">
        <v>23</v>
      </c>
      <c r="O541" s="3">
        <v>52488</v>
      </c>
      <c r="P541">
        <v>4761904762</v>
      </c>
      <c r="Q541" s="3">
        <v>26244</v>
      </c>
      <c r="R541">
        <v>51</v>
      </c>
      <c r="S541" s="3">
        <f>G541*SuperMarket_Analysis[[#This Row],[Quantity]]</f>
        <v>52488</v>
      </c>
    </row>
    <row r="542" spans="1:19" x14ac:dyDescent="0.25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177</v>
      </c>
      <c r="F542" s="1" t="s">
        <v>31</v>
      </c>
      <c r="G542" s="3">
        <v>3068</v>
      </c>
      <c r="H542">
        <v>3</v>
      </c>
      <c r="I542" s="3">
        <v>4602</v>
      </c>
      <c r="J542">
        <v>96642</v>
      </c>
      <c r="K542" t="str">
        <f t="shared" si="8"/>
        <v>janeiro</v>
      </c>
      <c r="L542" s="4">
        <v>43487</v>
      </c>
      <c r="M542" s="2">
        <v>0.45833333333333331</v>
      </c>
      <c r="N542" s="1" t="s">
        <v>23</v>
      </c>
      <c r="O542" s="3">
        <v>9204</v>
      </c>
      <c r="P542">
        <v>4761904762</v>
      </c>
      <c r="Q542" s="3">
        <v>4602</v>
      </c>
      <c r="R542">
        <v>91</v>
      </c>
      <c r="S542" s="3">
        <f>G542*SuperMarket_Analysis[[#This Row],[Quantity]]</f>
        <v>9204</v>
      </c>
    </row>
    <row r="543" spans="1:19" x14ac:dyDescent="0.25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177</v>
      </c>
      <c r="F543" s="1" t="s">
        <v>22</v>
      </c>
      <c r="G543" s="3">
        <v>7588</v>
      </c>
      <c r="H543">
        <v>1</v>
      </c>
      <c r="I543" s="3">
        <v>3794</v>
      </c>
      <c r="J543">
        <v>79674</v>
      </c>
      <c r="K543" t="str">
        <f t="shared" si="8"/>
        <v>janeiro</v>
      </c>
      <c r="L543" s="4">
        <v>43468</v>
      </c>
      <c r="M543" s="2">
        <v>0.4375</v>
      </c>
      <c r="N543" s="1" t="s">
        <v>32</v>
      </c>
      <c r="O543" s="3">
        <v>7588</v>
      </c>
      <c r="P543">
        <v>4761904762</v>
      </c>
      <c r="Q543" s="3">
        <v>3794</v>
      </c>
      <c r="R543">
        <v>71</v>
      </c>
      <c r="S543" s="3">
        <f>G543*SuperMarket_Analysis[[#This Row],[Quantity]]</f>
        <v>7588</v>
      </c>
    </row>
    <row r="544" spans="1:19" x14ac:dyDescent="0.25">
      <c r="A544" s="1" t="s">
        <v>578</v>
      </c>
      <c r="B544" s="1" t="s">
        <v>41</v>
      </c>
      <c r="C544" s="1" t="s">
        <v>42</v>
      </c>
      <c r="D544" s="1" t="s">
        <v>20</v>
      </c>
      <c r="E544" s="1" t="s">
        <v>21</v>
      </c>
      <c r="F544" s="1" t="s">
        <v>35</v>
      </c>
      <c r="G544" s="3">
        <v>2018</v>
      </c>
      <c r="H544">
        <v>4</v>
      </c>
      <c r="I544" s="3">
        <v>4036</v>
      </c>
      <c r="J544">
        <v>84756</v>
      </c>
      <c r="K544" t="str">
        <f t="shared" si="8"/>
        <v>fevereiro</v>
      </c>
      <c r="L544" s="4">
        <v>43509</v>
      </c>
      <c r="M544" s="2">
        <v>0.50972222222222219</v>
      </c>
      <c r="N544" s="1" t="s">
        <v>32</v>
      </c>
      <c r="O544" s="3">
        <v>8072</v>
      </c>
      <c r="P544">
        <v>4761904762</v>
      </c>
      <c r="Q544" s="3">
        <v>4036</v>
      </c>
      <c r="R544">
        <v>5</v>
      </c>
      <c r="S544" s="3">
        <f>G544*SuperMarket_Analysis[[#This Row],[Quantity]]</f>
        <v>8072</v>
      </c>
    </row>
    <row r="545" spans="1:19" x14ac:dyDescent="0.25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177</v>
      </c>
      <c r="F545" s="1" t="s">
        <v>28</v>
      </c>
      <c r="G545" s="3">
        <v>1877</v>
      </c>
      <c r="H545">
        <v>6</v>
      </c>
      <c r="I545" s="3">
        <v>5631</v>
      </c>
      <c r="J545">
        <v>118251</v>
      </c>
      <c r="K545" t="str">
        <f t="shared" si="8"/>
        <v>janeiro</v>
      </c>
      <c r="L545" s="4">
        <v>43493</v>
      </c>
      <c r="M545" s="2">
        <v>0.69652777777777775</v>
      </c>
      <c r="N545" s="1" t="s">
        <v>32</v>
      </c>
      <c r="O545" s="3">
        <v>11262</v>
      </c>
      <c r="P545">
        <v>4761904762</v>
      </c>
      <c r="Q545" s="3">
        <v>5631</v>
      </c>
      <c r="R545">
        <v>55</v>
      </c>
      <c r="S545" s="3">
        <f>G545*SuperMarket_Analysis[[#This Row],[Quantity]]</f>
        <v>11262</v>
      </c>
    </row>
    <row r="546" spans="1:19" x14ac:dyDescent="0.25">
      <c r="A546" s="1" t="s">
        <v>580</v>
      </c>
      <c r="B546" s="1" t="s">
        <v>41</v>
      </c>
      <c r="C546" s="1" t="s">
        <v>42</v>
      </c>
      <c r="D546" s="1" t="s">
        <v>27</v>
      </c>
      <c r="E546" s="1" t="s">
        <v>21</v>
      </c>
      <c r="F546" s="1" t="s">
        <v>43</v>
      </c>
      <c r="G546" s="3">
        <v>712</v>
      </c>
      <c r="H546">
        <v>1</v>
      </c>
      <c r="I546" s="3">
        <v>356</v>
      </c>
      <c r="J546">
        <v>7476</v>
      </c>
      <c r="K546" t="str">
        <f t="shared" si="8"/>
        <v>janeiro</v>
      </c>
      <c r="L546" s="4">
        <v>43470</v>
      </c>
      <c r="M546" s="2">
        <v>0.86111111111111116</v>
      </c>
      <c r="N546" s="1" t="s">
        <v>32</v>
      </c>
      <c r="O546" s="3">
        <v>712</v>
      </c>
      <c r="P546">
        <v>4761904762</v>
      </c>
      <c r="Q546" s="3">
        <v>356</v>
      </c>
      <c r="R546">
        <v>92</v>
      </c>
      <c r="S546" s="3">
        <f>G546*SuperMarket_Analysis[[#This Row],[Quantity]]</f>
        <v>712</v>
      </c>
    </row>
    <row r="547" spans="1:19" x14ac:dyDescent="0.25">
      <c r="A547" s="1" t="s">
        <v>581</v>
      </c>
      <c r="B547" s="1" t="s">
        <v>41</v>
      </c>
      <c r="C547" s="1" t="s">
        <v>42</v>
      </c>
      <c r="D547" s="1" t="s">
        <v>20</v>
      </c>
      <c r="E547" s="1" t="s">
        <v>177</v>
      </c>
      <c r="F547" s="1" t="s">
        <v>31</v>
      </c>
      <c r="G547" s="3">
        <v>3881</v>
      </c>
      <c r="H547">
        <v>4</v>
      </c>
      <c r="I547" s="3">
        <v>7762</v>
      </c>
      <c r="J547">
        <v>163002</v>
      </c>
      <c r="K547" t="str">
        <f t="shared" si="8"/>
        <v>março</v>
      </c>
      <c r="L547" s="4">
        <v>43543</v>
      </c>
      <c r="M547" s="2">
        <v>0.56944444444444442</v>
      </c>
      <c r="N547" s="1" t="s">
        <v>23</v>
      </c>
      <c r="O547" s="3">
        <v>15524</v>
      </c>
      <c r="P547">
        <v>4761904762</v>
      </c>
      <c r="Q547" s="3">
        <v>7762</v>
      </c>
      <c r="R547">
        <v>49</v>
      </c>
      <c r="S547" s="3">
        <f>G547*SuperMarket_Analysis[[#This Row],[Quantity]]</f>
        <v>15524</v>
      </c>
    </row>
    <row r="548" spans="1:19" x14ac:dyDescent="0.25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45</v>
      </c>
      <c r="G548" s="3">
        <v>2942</v>
      </c>
      <c r="H548">
        <v>10</v>
      </c>
      <c r="I548" s="3">
        <v>1471</v>
      </c>
      <c r="J548">
        <v>30891</v>
      </c>
      <c r="K548" t="str">
        <f t="shared" si="8"/>
        <v>janeiro</v>
      </c>
      <c r="L548" s="4">
        <v>43477</v>
      </c>
      <c r="M548" s="2">
        <v>0.68263888888888891</v>
      </c>
      <c r="N548" s="1" t="s">
        <v>23</v>
      </c>
      <c r="O548" s="3">
        <v>2942</v>
      </c>
      <c r="P548">
        <v>4761904762</v>
      </c>
      <c r="Q548" s="3">
        <v>1471</v>
      </c>
      <c r="R548">
        <v>89</v>
      </c>
      <c r="S548" s="3">
        <f>G548*SuperMarket_Analysis[[#This Row],[Quantity]]</f>
        <v>29420</v>
      </c>
    </row>
    <row r="549" spans="1:19" x14ac:dyDescent="0.25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177</v>
      </c>
      <c r="F549" s="1" t="s">
        <v>35</v>
      </c>
      <c r="G549" s="3">
        <v>6095</v>
      </c>
      <c r="H549">
        <v>9</v>
      </c>
      <c r="I549" s="3">
        <v>274275</v>
      </c>
      <c r="J549">
        <v>5759775</v>
      </c>
      <c r="K549" t="str">
        <f t="shared" si="8"/>
        <v>janeiro</v>
      </c>
      <c r="L549" s="4">
        <v>43472</v>
      </c>
      <c r="M549" s="2">
        <v>0.50555555555555554</v>
      </c>
      <c r="N549" s="1" t="s">
        <v>32</v>
      </c>
      <c r="O549" s="3">
        <v>54855</v>
      </c>
      <c r="P549">
        <v>4761904762</v>
      </c>
      <c r="Q549" s="3">
        <v>274275</v>
      </c>
      <c r="R549">
        <v>6</v>
      </c>
      <c r="S549" s="3">
        <f>G549*SuperMarket_Analysis[[#This Row],[Quantity]]</f>
        <v>54855</v>
      </c>
    </row>
    <row r="550" spans="1:19" x14ac:dyDescent="0.25">
      <c r="A550" s="1" t="s">
        <v>584</v>
      </c>
      <c r="B550" s="1" t="s">
        <v>41</v>
      </c>
      <c r="C550" s="1" t="s">
        <v>42</v>
      </c>
      <c r="D550" s="1" t="s">
        <v>27</v>
      </c>
      <c r="E550" s="1" t="s">
        <v>21</v>
      </c>
      <c r="F550" s="1" t="s">
        <v>35</v>
      </c>
      <c r="G550" s="3">
        <v>5154</v>
      </c>
      <c r="H550">
        <v>5</v>
      </c>
      <c r="I550" s="3">
        <v>12885</v>
      </c>
      <c r="J550">
        <v>270585</v>
      </c>
      <c r="K550" t="str">
        <f t="shared" si="8"/>
        <v>janeiro</v>
      </c>
      <c r="L550" s="4">
        <v>43491</v>
      </c>
      <c r="M550" s="2">
        <v>0.73958333333333337</v>
      </c>
      <c r="N550" s="1" t="s">
        <v>29</v>
      </c>
      <c r="O550" s="3">
        <v>2577</v>
      </c>
      <c r="P550">
        <v>4761904762</v>
      </c>
      <c r="Q550" s="3">
        <v>12885</v>
      </c>
      <c r="R550">
        <v>42</v>
      </c>
      <c r="S550" s="3">
        <f>G550*SuperMarket_Analysis[[#This Row],[Quantity]]</f>
        <v>25770</v>
      </c>
    </row>
    <row r="551" spans="1:19" x14ac:dyDescent="0.25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3">
        <v>6606</v>
      </c>
      <c r="H551">
        <v>6</v>
      </c>
      <c r="I551" s="3">
        <v>19818</v>
      </c>
      <c r="J551">
        <v>416178</v>
      </c>
      <c r="K551" t="str">
        <f t="shared" si="8"/>
        <v>janeiro</v>
      </c>
      <c r="L551" s="4">
        <v>43488</v>
      </c>
      <c r="M551" s="2">
        <v>0.43611111111111112</v>
      </c>
      <c r="N551" s="1" t="s">
        <v>29</v>
      </c>
      <c r="O551" s="3">
        <v>39636</v>
      </c>
      <c r="P551">
        <v>4761904762</v>
      </c>
      <c r="Q551" s="3">
        <v>19818</v>
      </c>
      <c r="R551">
        <v>73</v>
      </c>
      <c r="S551" s="3">
        <f>G551*SuperMarket_Analysis[[#This Row],[Quantity]]</f>
        <v>39636</v>
      </c>
    </row>
    <row r="552" spans="1:19" x14ac:dyDescent="0.25">
      <c r="A552" s="1" t="s">
        <v>586</v>
      </c>
      <c r="B552" s="1" t="s">
        <v>41</v>
      </c>
      <c r="C552" s="1" t="s">
        <v>42</v>
      </c>
      <c r="D552" s="1" t="s">
        <v>27</v>
      </c>
      <c r="E552" s="1" t="s">
        <v>177</v>
      </c>
      <c r="F552" s="1" t="s">
        <v>45</v>
      </c>
      <c r="G552" s="3">
        <v>5727</v>
      </c>
      <c r="H552">
        <v>3</v>
      </c>
      <c r="I552" s="3">
        <v>85905</v>
      </c>
      <c r="J552">
        <v>1804005</v>
      </c>
      <c r="K552" t="str">
        <f t="shared" si="8"/>
        <v>fevereiro</v>
      </c>
      <c r="L552" s="4">
        <v>43505</v>
      </c>
      <c r="M552" s="2">
        <v>0.85486111111111107</v>
      </c>
      <c r="N552" s="1" t="s">
        <v>23</v>
      </c>
      <c r="O552" s="3">
        <v>17181</v>
      </c>
      <c r="P552">
        <v>4761904762</v>
      </c>
      <c r="Q552" s="3">
        <v>85905</v>
      </c>
      <c r="R552">
        <v>65</v>
      </c>
      <c r="S552" s="3">
        <f>G552*SuperMarket_Analysis[[#This Row],[Quantity]]</f>
        <v>17181</v>
      </c>
    </row>
    <row r="553" spans="1:19" x14ac:dyDescent="0.25">
      <c r="A553" s="1" t="s">
        <v>587</v>
      </c>
      <c r="B553" s="1" t="s">
        <v>41</v>
      </c>
      <c r="C553" s="1" t="s">
        <v>42</v>
      </c>
      <c r="D553" s="1" t="s">
        <v>27</v>
      </c>
      <c r="E553" s="1" t="s">
        <v>21</v>
      </c>
      <c r="F553" s="1" t="s">
        <v>45</v>
      </c>
      <c r="G553" s="3">
        <v>5431</v>
      </c>
      <c r="H553">
        <v>9</v>
      </c>
      <c r="I553" s="3">
        <v>244395</v>
      </c>
      <c r="J553">
        <v>5132295</v>
      </c>
      <c r="K553" t="str">
        <f t="shared" si="8"/>
        <v>fevereiro</v>
      </c>
      <c r="L553" s="4">
        <v>43518</v>
      </c>
      <c r="M553" s="2">
        <v>0.45069444444444445</v>
      </c>
      <c r="N553" s="1" t="s">
        <v>29</v>
      </c>
      <c r="O553" s="3">
        <v>48879</v>
      </c>
      <c r="P553">
        <v>4761904762</v>
      </c>
      <c r="Q553" s="3">
        <v>244395</v>
      </c>
      <c r="R553">
        <v>89</v>
      </c>
      <c r="S553" s="3">
        <f>G553*SuperMarket_Analysis[[#This Row],[Quantity]]</f>
        <v>48879</v>
      </c>
    </row>
    <row r="554" spans="1:19" x14ac:dyDescent="0.25">
      <c r="A554" s="1" t="s">
        <v>588</v>
      </c>
      <c r="B554" s="1" t="s">
        <v>41</v>
      </c>
      <c r="C554" s="1" t="s">
        <v>42</v>
      </c>
      <c r="D554" s="1" t="s">
        <v>27</v>
      </c>
      <c r="E554" s="1" t="s">
        <v>21</v>
      </c>
      <c r="F554" s="1" t="s">
        <v>22</v>
      </c>
      <c r="G554" s="3">
        <v>5824</v>
      </c>
      <c r="H554">
        <v>9</v>
      </c>
      <c r="I554" s="3">
        <v>26208</v>
      </c>
      <c r="J554">
        <v>550368</v>
      </c>
      <c r="K554" t="str">
        <f t="shared" si="8"/>
        <v>fevereiro</v>
      </c>
      <c r="L554" s="4">
        <v>43501</v>
      </c>
      <c r="M554" s="2">
        <v>0.52361111111111114</v>
      </c>
      <c r="N554" s="1" t="s">
        <v>29</v>
      </c>
      <c r="O554" s="3">
        <v>52416</v>
      </c>
      <c r="P554">
        <v>4761904762</v>
      </c>
      <c r="Q554" s="3">
        <v>26208</v>
      </c>
      <c r="R554">
        <v>97</v>
      </c>
      <c r="S554" s="3">
        <f>G554*SuperMarket_Analysis[[#This Row],[Quantity]]</f>
        <v>52416</v>
      </c>
    </row>
    <row r="555" spans="1:19" x14ac:dyDescent="0.25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177</v>
      </c>
      <c r="F555" s="1" t="s">
        <v>28</v>
      </c>
      <c r="G555" s="3">
        <v>2221</v>
      </c>
      <c r="H555">
        <v>6</v>
      </c>
      <c r="I555" s="3">
        <v>6663</v>
      </c>
      <c r="J555">
        <v>139923</v>
      </c>
      <c r="K555" t="str">
        <f t="shared" si="8"/>
        <v>março</v>
      </c>
      <c r="L555" s="4">
        <v>43531</v>
      </c>
      <c r="M555" s="2">
        <v>0.43263888888888891</v>
      </c>
      <c r="N555" s="1" t="s">
        <v>32</v>
      </c>
      <c r="O555" s="3">
        <v>13326</v>
      </c>
      <c r="P555">
        <v>4761904762</v>
      </c>
      <c r="Q555" s="3">
        <v>6663</v>
      </c>
      <c r="R555">
        <v>86</v>
      </c>
      <c r="S555" s="3">
        <f>G555*SuperMarket_Analysis[[#This Row],[Quantity]]</f>
        <v>13326</v>
      </c>
    </row>
    <row r="556" spans="1:19" x14ac:dyDescent="0.25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177</v>
      </c>
      <c r="F556" s="1" t="s">
        <v>28</v>
      </c>
      <c r="G556" s="3">
        <v>1932</v>
      </c>
      <c r="H556">
        <v>7</v>
      </c>
      <c r="I556" s="3">
        <v>6762</v>
      </c>
      <c r="J556">
        <v>142002</v>
      </c>
      <c r="K556" t="str">
        <f t="shared" si="8"/>
        <v>março</v>
      </c>
      <c r="L556" s="4">
        <v>43549</v>
      </c>
      <c r="M556" s="2">
        <v>0.78541666666666665</v>
      </c>
      <c r="N556" s="1" t="s">
        <v>29</v>
      </c>
      <c r="O556" s="3">
        <v>13524</v>
      </c>
      <c r="P556">
        <v>4761904762</v>
      </c>
      <c r="Q556" s="3">
        <v>6762</v>
      </c>
      <c r="R556">
        <v>69</v>
      </c>
      <c r="S556" s="3">
        <f>G556*SuperMarket_Analysis[[#This Row],[Quantity]]</f>
        <v>13524</v>
      </c>
    </row>
    <row r="557" spans="1:19" x14ac:dyDescent="0.25">
      <c r="A557" s="1" t="s">
        <v>591</v>
      </c>
      <c r="B557" s="1" t="s">
        <v>41</v>
      </c>
      <c r="C557" s="1" t="s">
        <v>42</v>
      </c>
      <c r="D557" s="1" t="s">
        <v>27</v>
      </c>
      <c r="E557" s="1" t="s">
        <v>177</v>
      </c>
      <c r="F557" s="1" t="s">
        <v>31</v>
      </c>
      <c r="G557" s="3">
        <v>3748</v>
      </c>
      <c r="H557">
        <v>3</v>
      </c>
      <c r="I557" s="3">
        <v>5622</v>
      </c>
      <c r="J557">
        <v>118062</v>
      </c>
      <c r="K557" t="str">
        <f t="shared" si="8"/>
        <v>janeiro</v>
      </c>
      <c r="L557" s="4">
        <v>43485</v>
      </c>
      <c r="M557" s="2">
        <v>0.57291666666666663</v>
      </c>
      <c r="N557" s="1" t="s">
        <v>32</v>
      </c>
      <c r="O557" s="3">
        <v>11244</v>
      </c>
      <c r="P557">
        <v>4761904762</v>
      </c>
      <c r="Q557" s="3">
        <v>5622</v>
      </c>
      <c r="R557">
        <v>77</v>
      </c>
      <c r="S557" s="3">
        <f>G557*SuperMarket_Analysis[[#This Row],[Quantity]]</f>
        <v>11244</v>
      </c>
    </row>
    <row r="558" spans="1:19" x14ac:dyDescent="0.25">
      <c r="A558" s="1" t="s">
        <v>592</v>
      </c>
      <c r="B558" s="1" t="s">
        <v>41</v>
      </c>
      <c r="C558" s="1" t="s">
        <v>42</v>
      </c>
      <c r="D558" s="1" t="s">
        <v>20</v>
      </c>
      <c r="E558" s="1" t="s">
        <v>21</v>
      </c>
      <c r="F558" s="1" t="s">
        <v>45</v>
      </c>
      <c r="G558" s="3">
        <v>7204</v>
      </c>
      <c r="H558">
        <v>2</v>
      </c>
      <c r="I558" s="3">
        <v>7204</v>
      </c>
      <c r="J558">
        <v>151284</v>
      </c>
      <c r="K558" t="str">
        <f t="shared" si="8"/>
        <v>fevereiro</v>
      </c>
      <c r="L558" s="4">
        <v>43500</v>
      </c>
      <c r="M558" s="2">
        <v>0.81805555555555554</v>
      </c>
      <c r="N558" s="1" t="s">
        <v>29</v>
      </c>
      <c r="O558" s="3">
        <v>14408</v>
      </c>
      <c r="P558">
        <v>4761904762</v>
      </c>
      <c r="Q558" s="3">
        <v>7204</v>
      </c>
      <c r="R558">
        <v>95</v>
      </c>
      <c r="S558" s="3">
        <f>G558*SuperMarket_Analysis[[#This Row],[Quantity]]</f>
        <v>14408</v>
      </c>
    </row>
    <row r="559" spans="1:19" x14ac:dyDescent="0.25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43</v>
      </c>
      <c r="G559" s="3">
        <v>9852</v>
      </c>
      <c r="H559">
        <v>10</v>
      </c>
      <c r="I559" s="3">
        <v>4926</v>
      </c>
      <c r="J559">
        <v>103446</v>
      </c>
      <c r="K559" t="str">
        <f t="shared" si="8"/>
        <v>janeiro</v>
      </c>
      <c r="L559" s="4">
        <v>43495</v>
      </c>
      <c r="M559" s="2">
        <v>0.84930555555555554</v>
      </c>
      <c r="N559" s="1" t="s">
        <v>23</v>
      </c>
      <c r="O559" s="3">
        <v>9852</v>
      </c>
      <c r="P559">
        <v>4761904762</v>
      </c>
      <c r="Q559" s="3">
        <v>4926</v>
      </c>
      <c r="R559">
        <v>45</v>
      </c>
      <c r="S559" s="3">
        <f>G559*SuperMarket_Analysis[[#This Row],[Quantity]]</f>
        <v>98520</v>
      </c>
    </row>
    <row r="560" spans="1:19" x14ac:dyDescent="0.25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177</v>
      </c>
      <c r="F560" s="1" t="s">
        <v>43</v>
      </c>
      <c r="G560" s="3">
        <v>4166</v>
      </c>
      <c r="H560">
        <v>6</v>
      </c>
      <c r="I560" s="3">
        <v>12498</v>
      </c>
      <c r="J560">
        <v>262458</v>
      </c>
      <c r="K560" t="str">
        <f t="shared" si="8"/>
        <v>janeiro</v>
      </c>
      <c r="L560" s="4">
        <v>43467</v>
      </c>
      <c r="M560" s="2">
        <v>0.64166666666666672</v>
      </c>
      <c r="N560" s="1" t="s">
        <v>23</v>
      </c>
      <c r="O560" s="3">
        <v>24996</v>
      </c>
      <c r="P560">
        <v>4761904762</v>
      </c>
      <c r="Q560" s="3">
        <v>12498</v>
      </c>
      <c r="R560">
        <v>56</v>
      </c>
      <c r="S560" s="3">
        <f>G560*SuperMarket_Analysis[[#This Row],[Quantity]]</f>
        <v>24996</v>
      </c>
    </row>
    <row r="561" spans="1:19" x14ac:dyDescent="0.25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3">
        <v>7242</v>
      </c>
      <c r="H561">
        <v>3</v>
      </c>
      <c r="I561" s="3">
        <v>10863</v>
      </c>
      <c r="J561">
        <v>228123</v>
      </c>
      <c r="K561" t="str">
        <f t="shared" si="8"/>
        <v>março</v>
      </c>
      <c r="L561" s="4">
        <v>43553</v>
      </c>
      <c r="M561" s="2">
        <v>0.70416666666666672</v>
      </c>
      <c r="N561" s="1" t="s">
        <v>23</v>
      </c>
      <c r="O561" s="3">
        <v>21726</v>
      </c>
      <c r="P561">
        <v>4761904762</v>
      </c>
      <c r="Q561" s="3">
        <v>10863</v>
      </c>
      <c r="R561">
        <v>82</v>
      </c>
      <c r="S561" s="3">
        <f>G561*SuperMarket_Analysis[[#This Row],[Quantity]]</f>
        <v>21726</v>
      </c>
    </row>
    <row r="562" spans="1:19" x14ac:dyDescent="0.25">
      <c r="A562" s="1" t="s">
        <v>596</v>
      </c>
      <c r="B562" s="1" t="s">
        <v>41</v>
      </c>
      <c r="C562" s="1" t="s">
        <v>42</v>
      </c>
      <c r="D562" s="1" t="s">
        <v>27</v>
      </c>
      <c r="E562" s="1" t="s">
        <v>177</v>
      </c>
      <c r="F562" s="1" t="s">
        <v>28</v>
      </c>
      <c r="G562" s="3">
        <v>2158</v>
      </c>
      <c r="H562">
        <v>9</v>
      </c>
      <c r="I562" s="3">
        <v>9711</v>
      </c>
      <c r="J562">
        <v>203931</v>
      </c>
      <c r="K562" t="str">
        <f t="shared" si="8"/>
        <v>março</v>
      </c>
      <c r="L562" s="4">
        <v>43538</v>
      </c>
      <c r="M562" s="2">
        <v>0.52222222222222225</v>
      </c>
      <c r="N562" s="1" t="s">
        <v>29</v>
      </c>
      <c r="O562" s="3">
        <v>19422</v>
      </c>
      <c r="P562">
        <v>4761904762</v>
      </c>
      <c r="Q562" s="3">
        <v>9711</v>
      </c>
      <c r="R562">
        <v>73</v>
      </c>
      <c r="S562" s="3">
        <f>G562*SuperMarket_Analysis[[#This Row],[Quantity]]</f>
        <v>19422</v>
      </c>
    </row>
    <row r="563" spans="1:19" x14ac:dyDescent="0.25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177</v>
      </c>
      <c r="F563" s="1" t="s">
        <v>43</v>
      </c>
      <c r="G563" s="3">
        <v>892</v>
      </c>
      <c r="H563">
        <v>10</v>
      </c>
      <c r="I563" s="3">
        <v>446</v>
      </c>
      <c r="J563">
        <v>9366</v>
      </c>
      <c r="K563" t="str">
        <f t="shared" si="8"/>
        <v>fevereiro</v>
      </c>
      <c r="L563" s="4">
        <v>43507</v>
      </c>
      <c r="M563" s="2">
        <v>0.65416666666666667</v>
      </c>
      <c r="N563" s="1" t="s">
        <v>32</v>
      </c>
      <c r="O563" s="3">
        <v>892</v>
      </c>
      <c r="P563">
        <v>4761904762</v>
      </c>
      <c r="Q563" s="3">
        <v>446</v>
      </c>
      <c r="R563">
        <v>44</v>
      </c>
      <c r="S563" s="3">
        <f>G563*SuperMarket_Analysis[[#This Row],[Quantity]]</f>
        <v>8920</v>
      </c>
    </row>
    <row r="564" spans="1:19" x14ac:dyDescent="0.25">
      <c r="A564" s="1" t="s">
        <v>598</v>
      </c>
      <c r="B564" s="1" t="s">
        <v>41</v>
      </c>
      <c r="C564" s="1" t="s">
        <v>42</v>
      </c>
      <c r="D564" s="1" t="s">
        <v>27</v>
      </c>
      <c r="E564" s="1" t="s">
        <v>21</v>
      </c>
      <c r="F564" s="1" t="s">
        <v>28</v>
      </c>
      <c r="G564" s="3">
        <v>4242</v>
      </c>
      <c r="H564">
        <v>8</v>
      </c>
      <c r="I564" s="3">
        <v>16968</v>
      </c>
      <c r="J564">
        <v>356328</v>
      </c>
      <c r="K564" t="str">
        <f t="shared" si="8"/>
        <v>janeiro</v>
      </c>
      <c r="L564" s="4">
        <v>43495</v>
      </c>
      <c r="M564" s="2">
        <v>0.58194444444444449</v>
      </c>
      <c r="N564" s="1" t="s">
        <v>23</v>
      </c>
      <c r="O564" s="3">
        <v>33936</v>
      </c>
      <c r="P564">
        <v>4761904762</v>
      </c>
      <c r="Q564" s="3">
        <v>16968</v>
      </c>
      <c r="R564">
        <v>57</v>
      </c>
      <c r="S564" s="3">
        <f>G564*SuperMarket_Analysis[[#This Row],[Quantity]]</f>
        <v>33936</v>
      </c>
    </row>
    <row r="565" spans="1:19" x14ac:dyDescent="0.25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177</v>
      </c>
      <c r="F565" s="1" t="s">
        <v>28</v>
      </c>
      <c r="G565" s="3">
        <v>7451</v>
      </c>
      <c r="H565">
        <v>6</v>
      </c>
      <c r="I565" s="3">
        <v>22353</v>
      </c>
      <c r="J565">
        <v>469413</v>
      </c>
      <c r="K565" t="str">
        <f t="shared" si="8"/>
        <v>março</v>
      </c>
      <c r="L565" s="4">
        <v>43544</v>
      </c>
      <c r="M565" s="2">
        <v>0.63055555555555554</v>
      </c>
      <c r="N565" s="1" t="s">
        <v>23</v>
      </c>
      <c r="O565" s="3">
        <v>44706</v>
      </c>
      <c r="P565">
        <v>4761904762</v>
      </c>
      <c r="Q565" s="3">
        <v>22353</v>
      </c>
      <c r="R565">
        <v>5</v>
      </c>
      <c r="S565" s="3">
        <f>G565*SuperMarket_Analysis[[#This Row],[Quantity]]</f>
        <v>44706</v>
      </c>
    </row>
    <row r="566" spans="1:19" x14ac:dyDescent="0.25">
      <c r="A566" s="1" t="s">
        <v>600</v>
      </c>
      <c r="B566" s="1" t="s">
        <v>41</v>
      </c>
      <c r="C566" s="1" t="s">
        <v>42</v>
      </c>
      <c r="D566" s="1" t="s">
        <v>27</v>
      </c>
      <c r="E566" s="1" t="s">
        <v>177</v>
      </c>
      <c r="F566" s="1" t="s">
        <v>45</v>
      </c>
      <c r="G566" s="3">
        <v>9925</v>
      </c>
      <c r="H566">
        <v>2</v>
      </c>
      <c r="I566" s="3">
        <v>9925</v>
      </c>
      <c r="J566">
        <v>208425</v>
      </c>
      <c r="K566" t="str">
        <f t="shared" si="8"/>
        <v>março</v>
      </c>
      <c r="L566" s="4">
        <v>43544</v>
      </c>
      <c r="M566" s="2">
        <v>0.54305555555555551</v>
      </c>
      <c r="N566" s="1" t="s">
        <v>29</v>
      </c>
      <c r="O566" s="3">
        <v>1985</v>
      </c>
      <c r="P566">
        <v>4761904762</v>
      </c>
      <c r="Q566" s="3">
        <v>9925</v>
      </c>
      <c r="R566">
        <v>9</v>
      </c>
      <c r="S566" s="3">
        <f>G566*SuperMarket_Analysis[[#This Row],[Quantity]]</f>
        <v>19850</v>
      </c>
    </row>
    <row r="567" spans="1:19" x14ac:dyDescent="0.25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43</v>
      </c>
      <c r="G567" s="3">
        <v>8121</v>
      </c>
      <c r="H567">
        <v>10</v>
      </c>
      <c r="I567" s="3">
        <v>40605</v>
      </c>
      <c r="J567">
        <v>852705</v>
      </c>
      <c r="K567" t="str">
        <f t="shared" si="8"/>
        <v>janeiro</v>
      </c>
      <c r="L567" s="4">
        <v>43482</v>
      </c>
      <c r="M567" s="2">
        <v>0.54236111111111107</v>
      </c>
      <c r="N567" s="1" t="s">
        <v>32</v>
      </c>
      <c r="O567" s="3">
        <v>8121</v>
      </c>
      <c r="P567">
        <v>4761904762</v>
      </c>
      <c r="Q567" s="3">
        <v>40605</v>
      </c>
      <c r="R567">
        <v>63</v>
      </c>
      <c r="S567" s="3">
        <f>G567*SuperMarket_Analysis[[#This Row],[Quantity]]</f>
        <v>81210</v>
      </c>
    </row>
    <row r="568" spans="1:19" x14ac:dyDescent="0.25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35</v>
      </c>
      <c r="G568" s="3">
        <v>4933</v>
      </c>
      <c r="H568">
        <v>10</v>
      </c>
      <c r="I568" s="3">
        <v>24665</v>
      </c>
      <c r="J568">
        <v>517965</v>
      </c>
      <c r="K568" t="str">
        <f t="shared" si="8"/>
        <v>fevereiro</v>
      </c>
      <c r="L568" s="4">
        <v>43499</v>
      </c>
      <c r="M568" s="2">
        <v>0.69444444444444442</v>
      </c>
      <c r="N568" s="1" t="s">
        <v>32</v>
      </c>
      <c r="O568" s="3">
        <v>4933</v>
      </c>
      <c r="P568">
        <v>4761904762</v>
      </c>
      <c r="Q568" s="3">
        <v>24665</v>
      </c>
      <c r="R568">
        <v>94</v>
      </c>
      <c r="S568" s="3">
        <f>G568*SuperMarket_Analysis[[#This Row],[Quantity]]</f>
        <v>49330</v>
      </c>
    </row>
    <row r="569" spans="1:19" x14ac:dyDescent="0.25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45</v>
      </c>
      <c r="G569" s="3">
        <v>6574</v>
      </c>
      <c r="H569">
        <v>9</v>
      </c>
      <c r="I569" s="3">
        <v>29583</v>
      </c>
      <c r="J569">
        <v>621243</v>
      </c>
      <c r="K569" t="str">
        <f t="shared" si="8"/>
        <v>janeiro</v>
      </c>
      <c r="L569" s="4">
        <v>43466</v>
      </c>
      <c r="M569" s="2">
        <v>0.57986111111111116</v>
      </c>
      <c r="N569" s="1" t="s">
        <v>29</v>
      </c>
      <c r="O569" s="3">
        <v>59166</v>
      </c>
      <c r="P569">
        <v>4761904762</v>
      </c>
      <c r="Q569" s="3">
        <v>29583</v>
      </c>
      <c r="R569">
        <v>77</v>
      </c>
      <c r="S569" s="3">
        <f>G569*SuperMarket_Analysis[[#This Row],[Quantity]]</f>
        <v>59166</v>
      </c>
    </row>
    <row r="570" spans="1:19" x14ac:dyDescent="0.25">
      <c r="A570" s="1" t="s">
        <v>604</v>
      </c>
      <c r="B570" s="1" t="s">
        <v>41</v>
      </c>
      <c r="C570" s="1" t="s">
        <v>42</v>
      </c>
      <c r="D570" s="1" t="s">
        <v>27</v>
      </c>
      <c r="E570" s="1" t="s">
        <v>21</v>
      </c>
      <c r="F570" s="1" t="s">
        <v>45</v>
      </c>
      <c r="G570" s="3">
        <v>7986</v>
      </c>
      <c r="H570">
        <v>7</v>
      </c>
      <c r="I570" s="3">
        <v>27951</v>
      </c>
      <c r="J570">
        <v>586971</v>
      </c>
      <c r="K570" t="str">
        <f t="shared" si="8"/>
        <v>janeiro</v>
      </c>
      <c r="L570" s="4">
        <v>43475</v>
      </c>
      <c r="M570" s="2">
        <v>0.43958333333333333</v>
      </c>
      <c r="N570" s="1" t="s">
        <v>32</v>
      </c>
      <c r="O570" s="3">
        <v>55902</v>
      </c>
      <c r="P570">
        <v>4761904762</v>
      </c>
      <c r="Q570" s="3">
        <v>27951</v>
      </c>
      <c r="R570">
        <v>55</v>
      </c>
      <c r="S570" s="3">
        <f>G570*SuperMarket_Analysis[[#This Row],[Quantity]]</f>
        <v>55902</v>
      </c>
    </row>
    <row r="571" spans="1:19" x14ac:dyDescent="0.25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35</v>
      </c>
      <c r="G571" s="3">
        <v>7398</v>
      </c>
      <c r="H571">
        <v>7</v>
      </c>
      <c r="I571" s="3">
        <v>25893</v>
      </c>
      <c r="J571">
        <v>543753</v>
      </c>
      <c r="K571" t="str">
        <f t="shared" si="8"/>
        <v>março</v>
      </c>
      <c r="L571" s="4">
        <v>43526</v>
      </c>
      <c r="M571" s="2">
        <v>0.6958333333333333</v>
      </c>
      <c r="N571" s="1" t="s">
        <v>23</v>
      </c>
      <c r="O571" s="3">
        <v>51786</v>
      </c>
      <c r="P571">
        <v>4761904762</v>
      </c>
      <c r="Q571" s="3">
        <v>25893</v>
      </c>
      <c r="R571">
        <v>41</v>
      </c>
      <c r="S571" s="3">
        <f>G571*SuperMarket_Analysis[[#This Row],[Quantity]]</f>
        <v>51786</v>
      </c>
    </row>
    <row r="572" spans="1:19" x14ac:dyDescent="0.25">
      <c r="A572" s="1" t="s">
        <v>606</v>
      </c>
      <c r="B572" s="1" t="s">
        <v>41</v>
      </c>
      <c r="C572" s="1" t="s">
        <v>42</v>
      </c>
      <c r="D572" s="1" t="s">
        <v>20</v>
      </c>
      <c r="E572" s="1" t="s">
        <v>21</v>
      </c>
      <c r="F572" s="1" t="s">
        <v>31</v>
      </c>
      <c r="G572" s="3">
        <v>8204</v>
      </c>
      <c r="H572">
        <v>5</v>
      </c>
      <c r="I572" s="3">
        <v>2051</v>
      </c>
      <c r="J572">
        <v>43071</v>
      </c>
      <c r="K572" t="str">
        <f t="shared" si="8"/>
        <v>fevereiro</v>
      </c>
      <c r="L572" s="4">
        <v>43521</v>
      </c>
      <c r="M572" s="2">
        <v>0.71944444444444444</v>
      </c>
      <c r="N572" s="1" t="s">
        <v>32</v>
      </c>
      <c r="O572" s="3">
        <v>4102</v>
      </c>
      <c r="P572">
        <v>4761904762</v>
      </c>
      <c r="Q572" s="3">
        <v>2051</v>
      </c>
      <c r="R572">
        <v>76</v>
      </c>
      <c r="S572" s="3">
        <f>G572*SuperMarket_Analysis[[#This Row],[Quantity]]</f>
        <v>41020</v>
      </c>
    </row>
    <row r="573" spans="1:19" x14ac:dyDescent="0.25">
      <c r="A573" s="1" t="s">
        <v>607</v>
      </c>
      <c r="B573" s="1" t="s">
        <v>41</v>
      </c>
      <c r="C573" s="1" t="s">
        <v>42</v>
      </c>
      <c r="D573" s="1" t="s">
        <v>20</v>
      </c>
      <c r="E573" s="1" t="s">
        <v>177</v>
      </c>
      <c r="F573" s="1" t="s">
        <v>35</v>
      </c>
      <c r="G573" s="3">
        <v>2667</v>
      </c>
      <c r="H573">
        <v>10</v>
      </c>
      <c r="I573" s="3">
        <v>13335</v>
      </c>
      <c r="J573">
        <v>280035</v>
      </c>
      <c r="K573" t="str">
        <f t="shared" si="8"/>
        <v>janeiro</v>
      </c>
      <c r="L573" s="4">
        <v>43494</v>
      </c>
      <c r="M573" s="2">
        <v>0.49166666666666664</v>
      </c>
      <c r="N573" s="1" t="s">
        <v>29</v>
      </c>
      <c r="O573" s="3">
        <v>2667</v>
      </c>
      <c r="P573">
        <v>4761904762</v>
      </c>
      <c r="Q573" s="3">
        <v>13335</v>
      </c>
      <c r="R573">
        <v>86</v>
      </c>
      <c r="S573" s="3">
        <f>G573*SuperMarket_Analysis[[#This Row],[Quantity]]</f>
        <v>26670</v>
      </c>
    </row>
    <row r="574" spans="1:19" x14ac:dyDescent="0.25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177</v>
      </c>
      <c r="F574" s="1" t="s">
        <v>43</v>
      </c>
      <c r="G574" s="3">
        <v>1013</v>
      </c>
      <c r="H574">
        <v>7</v>
      </c>
      <c r="I574" s="3">
        <v>35455</v>
      </c>
      <c r="J574">
        <v>744555</v>
      </c>
      <c r="K574" t="str">
        <f t="shared" si="8"/>
        <v>março</v>
      </c>
      <c r="L574" s="4">
        <v>43534</v>
      </c>
      <c r="M574" s="2">
        <v>0.81597222222222221</v>
      </c>
      <c r="N574" s="1" t="s">
        <v>23</v>
      </c>
      <c r="O574" s="3">
        <v>7091</v>
      </c>
      <c r="P574">
        <v>4761904762</v>
      </c>
      <c r="Q574" s="3">
        <v>35455</v>
      </c>
      <c r="R574">
        <v>83</v>
      </c>
      <c r="S574" s="3">
        <f>G574*SuperMarket_Analysis[[#This Row],[Quantity]]</f>
        <v>7091</v>
      </c>
    </row>
    <row r="575" spans="1:19" x14ac:dyDescent="0.25">
      <c r="A575" s="1" t="s">
        <v>609</v>
      </c>
      <c r="B575" s="1" t="s">
        <v>41</v>
      </c>
      <c r="C575" s="1" t="s">
        <v>42</v>
      </c>
      <c r="D575" s="1" t="s">
        <v>27</v>
      </c>
      <c r="E575" s="1" t="s">
        <v>177</v>
      </c>
      <c r="F575" s="1" t="s">
        <v>43</v>
      </c>
      <c r="G575" s="3">
        <v>7239</v>
      </c>
      <c r="H575">
        <v>2</v>
      </c>
      <c r="I575" s="3">
        <v>7239</v>
      </c>
      <c r="J575">
        <v>152019</v>
      </c>
      <c r="K575" t="str">
        <f t="shared" si="8"/>
        <v>janeiro</v>
      </c>
      <c r="L575" s="4">
        <v>43478</v>
      </c>
      <c r="M575" s="2">
        <v>0.82986111111111116</v>
      </c>
      <c r="N575" s="1" t="s">
        <v>32</v>
      </c>
      <c r="O575" s="3">
        <v>14478</v>
      </c>
      <c r="P575">
        <v>4761904762</v>
      </c>
      <c r="Q575" s="3">
        <v>7239</v>
      </c>
      <c r="R575">
        <v>81</v>
      </c>
      <c r="S575" s="3">
        <f>G575*SuperMarket_Analysis[[#This Row],[Quantity]]</f>
        <v>14478</v>
      </c>
    </row>
    <row r="576" spans="1:19" x14ac:dyDescent="0.25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177</v>
      </c>
      <c r="F576" s="1" t="s">
        <v>35</v>
      </c>
      <c r="G576" s="3">
        <v>8591</v>
      </c>
      <c r="H576">
        <v>5</v>
      </c>
      <c r="I576" s="3">
        <v>214775</v>
      </c>
      <c r="J576">
        <v>4510275</v>
      </c>
      <c r="K576" t="str">
        <f t="shared" si="8"/>
        <v>março</v>
      </c>
      <c r="L576" s="4">
        <v>43546</v>
      </c>
      <c r="M576" s="2">
        <v>0.60624999999999996</v>
      </c>
      <c r="N576" s="1" t="s">
        <v>32</v>
      </c>
      <c r="O576" s="3">
        <v>42955</v>
      </c>
      <c r="P576">
        <v>4761904762</v>
      </c>
      <c r="Q576" s="3">
        <v>214775</v>
      </c>
      <c r="R576">
        <v>86</v>
      </c>
      <c r="S576" s="3">
        <f>G576*SuperMarket_Analysis[[#This Row],[Quantity]]</f>
        <v>42955</v>
      </c>
    </row>
    <row r="577" spans="1:19" x14ac:dyDescent="0.25">
      <c r="A577" s="1" t="s">
        <v>611</v>
      </c>
      <c r="B577" s="1" t="s">
        <v>41</v>
      </c>
      <c r="C577" s="1" t="s">
        <v>42</v>
      </c>
      <c r="D577" s="1" t="s">
        <v>20</v>
      </c>
      <c r="E577" s="1" t="s">
        <v>177</v>
      </c>
      <c r="F577" s="1" t="s">
        <v>45</v>
      </c>
      <c r="G577" s="3">
        <v>8131</v>
      </c>
      <c r="H577">
        <v>7</v>
      </c>
      <c r="I577" s="3">
        <v>284585</v>
      </c>
      <c r="J577">
        <v>5976285</v>
      </c>
      <c r="K577" t="str">
        <f t="shared" si="8"/>
        <v>março</v>
      </c>
      <c r="L577" s="4">
        <v>43525</v>
      </c>
      <c r="M577" s="2">
        <v>0.8256944444444444</v>
      </c>
      <c r="N577" s="1" t="s">
        <v>23</v>
      </c>
      <c r="O577" s="3">
        <v>56917</v>
      </c>
      <c r="P577">
        <v>4761904762</v>
      </c>
      <c r="Q577" s="3">
        <v>284585</v>
      </c>
      <c r="R577">
        <v>63</v>
      </c>
      <c r="S577" s="3">
        <f>G577*SuperMarket_Analysis[[#This Row],[Quantity]]</f>
        <v>56917</v>
      </c>
    </row>
    <row r="578" spans="1:19" x14ac:dyDescent="0.25">
      <c r="A578" s="1" t="s">
        <v>612</v>
      </c>
      <c r="B578" s="1" t="s">
        <v>41</v>
      </c>
      <c r="C578" s="1" t="s">
        <v>42</v>
      </c>
      <c r="D578" s="1" t="s">
        <v>27</v>
      </c>
      <c r="E578" s="1" t="s">
        <v>177</v>
      </c>
      <c r="F578" s="1" t="s">
        <v>43</v>
      </c>
      <c r="G578" s="3">
        <v>603</v>
      </c>
      <c r="H578">
        <v>4</v>
      </c>
      <c r="I578" s="3">
        <v>1206</v>
      </c>
      <c r="J578">
        <v>25326</v>
      </c>
      <c r="K578" t="str">
        <f t="shared" ref="K578:K641" si="9">TEXT(L578, "mmmm")</f>
        <v>fevereiro</v>
      </c>
      <c r="L578" s="4">
        <v>43516</v>
      </c>
      <c r="M578" s="2">
        <v>0.77986111111111112</v>
      </c>
      <c r="N578" s="1" t="s">
        <v>29</v>
      </c>
      <c r="O578" s="3">
        <v>2412</v>
      </c>
      <c r="P578">
        <v>4761904762</v>
      </c>
      <c r="Q578" s="3">
        <v>1206</v>
      </c>
      <c r="R578">
        <v>58</v>
      </c>
      <c r="S578" s="3">
        <f>G578*SuperMarket_Analysis[[#This Row],[Quantity]]</f>
        <v>2412</v>
      </c>
    </row>
    <row r="579" spans="1:19" x14ac:dyDescent="0.25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177</v>
      </c>
      <c r="F579" s="1" t="s">
        <v>43</v>
      </c>
      <c r="G579" s="3">
        <v>3177</v>
      </c>
      <c r="H579">
        <v>4</v>
      </c>
      <c r="I579" s="3">
        <v>6354</v>
      </c>
      <c r="J579">
        <v>133434</v>
      </c>
      <c r="K579" t="str">
        <f t="shared" si="9"/>
        <v>janeiro</v>
      </c>
      <c r="L579" s="4">
        <v>43479</v>
      </c>
      <c r="M579" s="2">
        <v>0.61319444444444449</v>
      </c>
      <c r="N579" s="1" t="s">
        <v>23</v>
      </c>
      <c r="O579" s="3">
        <v>12708</v>
      </c>
      <c r="P579">
        <v>4761904762</v>
      </c>
      <c r="Q579" s="3">
        <v>6354</v>
      </c>
      <c r="R579">
        <v>62</v>
      </c>
      <c r="S579" s="3">
        <f>G579*SuperMarket_Analysis[[#This Row],[Quantity]]</f>
        <v>12708</v>
      </c>
    </row>
    <row r="580" spans="1:19" x14ac:dyDescent="0.25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3">
        <v>6427</v>
      </c>
      <c r="H580">
        <v>4</v>
      </c>
      <c r="I580" s="3">
        <v>12854</v>
      </c>
      <c r="J580">
        <v>269934</v>
      </c>
      <c r="K580" t="str">
        <f t="shared" si="9"/>
        <v>março</v>
      </c>
      <c r="L580" s="4">
        <v>43550</v>
      </c>
      <c r="M580" s="2">
        <v>0.57916666666666672</v>
      </c>
      <c r="N580" s="1" t="s">
        <v>29</v>
      </c>
      <c r="O580" s="3">
        <v>25708</v>
      </c>
      <c r="P580">
        <v>4761904762</v>
      </c>
      <c r="Q580" s="3">
        <v>12854</v>
      </c>
      <c r="R580">
        <v>77</v>
      </c>
      <c r="S580" s="3">
        <f>G580*SuperMarket_Analysis[[#This Row],[Quantity]]</f>
        <v>25708</v>
      </c>
    </row>
    <row r="581" spans="1:19" x14ac:dyDescent="0.25">
      <c r="A581" s="1" t="s">
        <v>615</v>
      </c>
      <c r="B581" s="1" t="s">
        <v>41</v>
      </c>
      <c r="C581" s="1" t="s">
        <v>42</v>
      </c>
      <c r="D581" s="1" t="s">
        <v>27</v>
      </c>
      <c r="E581" s="1" t="s">
        <v>177</v>
      </c>
      <c r="F581" s="1" t="s">
        <v>22</v>
      </c>
      <c r="G581" s="3">
        <v>6951</v>
      </c>
      <c r="H581">
        <v>2</v>
      </c>
      <c r="I581" s="3">
        <v>6951</v>
      </c>
      <c r="J581">
        <v>145971</v>
      </c>
      <c r="K581" t="str">
        <f t="shared" si="9"/>
        <v>março</v>
      </c>
      <c r="L581" s="4">
        <v>43525</v>
      </c>
      <c r="M581" s="2">
        <v>0.51041666666666663</v>
      </c>
      <c r="N581" s="1" t="s">
        <v>23</v>
      </c>
      <c r="O581" s="3">
        <v>13902</v>
      </c>
      <c r="P581">
        <v>4761904762</v>
      </c>
      <c r="Q581" s="3">
        <v>6951</v>
      </c>
      <c r="R581">
        <v>81</v>
      </c>
      <c r="S581" s="3">
        <f>G581*SuperMarket_Analysis[[#This Row],[Quantity]]</f>
        <v>13902</v>
      </c>
    </row>
    <row r="582" spans="1:19" x14ac:dyDescent="0.25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177</v>
      </c>
      <c r="F582" s="1" t="s">
        <v>43</v>
      </c>
      <c r="G582" s="3">
        <v>2722</v>
      </c>
      <c r="H582">
        <v>3</v>
      </c>
      <c r="I582" s="3">
        <v>4083</v>
      </c>
      <c r="J582">
        <v>85743</v>
      </c>
      <c r="K582" t="str">
        <f t="shared" si="9"/>
        <v>janeiro</v>
      </c>
      <c r="L582" s="4">
        <v>43472</v>
      </c>
      <c r="M582" s="2">
        <v>0.52569444444444446</v>
      </c>
      <c r="N582" s="1" t="s">
        <v>29</v>
      </c>
      <c r="O582" s="3">
        <v>8166</v>
      </c>
      <c r="P582">
        <v>4761904762</v>
      </c>
      <c r="Q582" s="3">
        <v>4083</v>
      </c>
      <c r="R582">
        <v>73</v>
      </c>
      <c r="S582" s="3">
        <f>G582*SuperMarket_Analysis[[#This Row],[Quantity]]</f>
        <v>8166</v>
      </c>
    </row>
    <row r="583" spans="1:19" x14ac:dyDescent="0.25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3">
        <v>7768</v>
      </c>
      <c r="H583">
        <v>4</v>
      </c>
      <c r="I583" s="3">
        <v>15536</v>
      </c>
      <c r="J583">
        <v>326256</v>
      </c>
      <c r="K583" t="str">
        <f t="shared" si="9"/>
        <v>fevereiro</v>
      </c>
      <c r="L583" s="4">
        <v>43497</v>
      </c>
      <c r="M583" s="2">
        <v>0.82916666666666672</v>
      </c>
      <c r="N583" s="1" t="s">
        <v>29</v>
      </c>
      <c r="O583" s="3">
        <v>31072</v>
      </c>
      <c r="P583">
        <v>4761904762</v>
      </c>
      <c r="Q583" s="3">
        <v>15536</v>
      </c>
      <c r="R583">
        <v>84</v>
      </c>
      <c r="S583" s="3">
        <f>G583*SuperMarket_Analysis[[#This Row],[Quantity]]</f>
        <v>31072</v>
      </c>
    </row>
    <row r="584" spans="1:19" x14ac:dyDescent="0.25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45</v>
      </c>
      <c r="G584" s="3">
        <v>9298</v>
      </c>
      <c r="H584">
        <v>2</v>
      </c>
      <c r="I584" s="3">
        <v>9298</v>
      </c>
      <c r="J584">
        <v>195258</v>
      </c>
      <c r="K584" t="str">
        <f t="shared" si="9"/>
        <v>fevereiro</v>
      </c>
      <c r="L584" s="4">
        <v>43509</v>
      </c>
      <c r="M584" s="2">
        <v>0.62916666666666665</v>
      </c>
      <c r="N584" s="1" t="s">
        <v>32</v>
      </c>
      <c r="O584" s="3">
        <v>18596</v>
      </c>
      <c r="P584">
        <v>4761904762</v>
      </c>
      <c r="Q584" s="3">
        <v>9298</v>
      </c>
      <c r="R584">
        <v>8</v>
      </c>
      <c r="S584" s="3">
        <f>G584*SuperMarket_Analysis[[#This Row],[Quantity]]</f>
        <v>18596</v>
      </c>
    </row>
    <row r="585" spans="1:19" x14ac:dyDescent="0.25">
      <c r="A585" s="1" t="s">
        <v>619</v>
      </c>
      <c r="B585" s="1" t="s">
        <v>41</v>
      </c>
      <c r="C585" s="1" t="s">
        <v>42</v>
      </c>
      <c r="D585" s="1" t="s">
        <v>20</v>
      </c>
      <c r="E585" s="1" t="s">
        <v>21</v>
      </c>
      <c r="F585" s="1" t="s">
        <v>45</v>
      </c>
      <c r="G585" s="3">
        <v>1808</v>
      </c>
      <c r="H585">
        <v>4</v>
      </c>
      <c r="I585" s="3">
        <v>3616</v>
      </c>
      <c r="J585">
        <v>75936</v>
      </c>
      <c r="K585" t="str">
        <f t="shared" si="9"/>
        <v>janeiro</v>
      </c>
      <c r="L585" s="4">
        <v>43479</v>
      </c>
      <c r="M585" s="2">
        <v>0.75208333333333333</v>
      </c>
      <c r="N585" s="1" t="s">
        <v>32</v>
      </c>
      <c r="O585" s="3">
        <v>7232</v>
      </c>
      <c r="P585">
        <v>4761904762</v>
      </c>
      <c r="Q585" s="3">
        <v>3616</v>
      </c>
      <c r="R585">
        <v>95</v>
      </c>
      <c r="S585" s="3">
        <f>G585*SuperMarket_Analysis[[#This Row],[Quantity]]</f>
        <v>7232</v>
      </c>
    </row>
    <row r="586" spans="1:19" x14ac:dyDescent="0.25">
      <c r="A586" s="1" t="s">
        <v>620</v>
      </c>
      <c r="B586" s="1" t="s">
        <v>41</v>
      </c>
      <c r="C586" s="1" t="s">
        <v>42</v>
      </c>
      <c r="D586" s="1" t="s">
        <v>27</v>
      </c>
      <c r="E586" s="1" t="s">
        <v>177</v>
      </c>
      <c r="F586" s="1" t="s">
        <v>35</v>
      </c>
      <c r="G586" s="3">
        <v>6306</v>
      </c>
      <c r="H586">
        <v>3</v>
      </c>
      <c r="I586" s="3">
        <v>9459</v>
      </c>
      <c r="J586">
        <v>198639</v>
      </c>
      <c r="K586" t="str">
        <f t="shared" si="9"/>
        <v>janeiro</v>
      </c>
      <c r="L586" s="4">
        <v>43484</v>
      </c>
      <c r="M586" s="2">
        <v>0.66527777777777775</v>
      </c>
      <c r="N586" s="1" t="s">
        <v>23</v>
      </c>
      <c r="O586" s="3">
        <v>18918</v>
      </c>
      <c r="P586">
        <v>4761904762</v>
      </c>
      <c r="Q586" s="3">
        <v>9459</v>
      </c>
      <c r="R586">
        <v>7</v>
      </c>
      <c r="S586" s="3">
        <f>G586*SuperMarket_Analysis[[#This Row],[Quantity]]</f>
        <v>18918</v>
      </c>
    </row>
    <row r="587" spans="1:19" x14ac:dyDescent="0.25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177</v>
      </c>
      <c r="F587" s="1" t="s">
        <v>22</v>
      </c>
      <c r="G587" s="3">
        <v>5171</v>
      </c>
      <c r="H587">
        <v>4</v>
      </c>
      <c r="I587" s="3">
        <v>10342</v>
      </c>
      <c r="J587">
        <v>217182</v>
      </c>
      <c r="K587" t="str">
        <f t="shared" si="9"/>
        <v>março</v>
      </c>
      <c r="L587" s="4">
        <v>43533</v>
      </c>
      <c r="M587" s="2">
        <v>0.57847222222222228</v>
      </c>
      <c r="N587" s="1" t="s">
        <v>32</v>
      </c>
      <c r="O587" s="3">
        <v>20684</v>
      </c>
      <c r="P587">
        <v>4761904762</v>
      </c>
      <c r="Q587" s="3">
        <v>10342</v>
      </c>
      <c r="R587">
        <v>98</v>
      </c>
      <c r="S587" s="3">
        <f>G587*SuperMarket_Analysis[[#This Row],[Quantity]]</f>
        <v>20684</v>
      </c>
    </row>
    <row r="588" spans="1:19" x14ac:dyDescent="0.25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43</v>
      </c>
      <c r="G588" s="3">
        <v>5234</v>
      </c>
      <c r="H588">
        <v>3</v>
      </c>
      <c r="I588" s="3">
        <v>7851</v>
      </c>
      <c r="J588">
        <v>164871</v>
      </c>
      <c r="K588" t="str">
        <f t="shared" si="9"/>
        <v>março</v>
      </c>
      <c r="L588" s="4">
        <v>43551</v>
      </c>
      <c r="M588" s="2">
        <v>0.5854166666666667</v>
      </c>
      <c r="N588" s="1" t="s">
        <v>29</v>
      </c>
      <c r="O588" s="3">
        <v>15702</v>
      </c>
      <c r="P588">
        <v>4761904762</v>
      </c>
      <c r="Q588" s="3">
        <v>7851</v>
      </c>
      <c r="R588">
        <v>92</v>
      </c>
      <c r="S588" s="3">
        <f>G588*SuperMarket_Analysis[[#This Row],[Quantity]]</f>
        <v>15702</v>
      </c>
    </row>
    <row r="589" spans="1:19" x14ac:dyDescent="0.25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35</v>
      </c>
      <c r="G589" s="3">
        <v>4306</v>
      </c>
      <c r="H589">
        <v>5</v>
      </c>
      <c r="I589" s="3">
        <v>10765</v>
      </c>
      <c r="J589">
        <v>226065</v>
      </c>
      <c r="K589" t="str">
        <f t="shared" si="9"/>
        <v>fevereiro</v>
      </c>
      <c r="L589" s="4">
        <v>43500</v>
      </c>
      <c r="M589" s="2">
        <v>0.69305555555555554</v>
      </c>
      <c r="N589" s="1" t="s">
        <v>23</v>
      </c>
      <c r="O589" s="3">
        <v>2153</v>
      </c>
      <c r="P589">
        <v>4761904762</v>
      </c>
      <c r="Q589" s="3">
        <v>10765</v>
      </c>
      <c r="R589">
        <v>77</v>
      </c>
      <c r="S589" s="3">
        <f>G589*SuperMarket_Analysis[[#This Row],[Quantity]]</f>
        <v>21530</v>
      </c>
    </row>
    <row r="590" spans="1:19" x14ac:dyDescent="0.25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177</v>
      </c>
      <c r="F590" s="1" t="s">
        <v>45</v>
      </c>
      <c r="G590" s="3">
        <v>5961</v>
      </c>
      <c r="H590">
        <v>10</v>
      </c>
      <c r="I590" s="3">
        <v>29805</v>
      </c>
      <c r="J590">
        <v>625905</v>
      </c>
      <c r="K590" t="str">
        <f t="shared" si="9"/>
        <v>março</v>
      </c>
      <c r="L590" s="4">
        <v>43538</v>
      </c>
      <c r="M590" s="2">
        <v>0.46319444444444446</v>
      </c>
      <c r="N590" s="1" t="s">
        <v>29</v>
      </c>
      <c r="O590" s="3">
        <v>5961</v>
      </c>
      <c r="P590">
        <v>4761904762</v>
      </c>
      <c r="Q590" s="3">
        <v>29805</v>
      </c>
      <c r="R590">
        <v>53</v>
      </c>
      <c r="S590" s="3">
        <f>G590*SuperMarket_Analysis[[#This Row],[Quantity]]</f>
        <v>59610</v>
      </c>
    </row>
    <row r="591" spans="1:19" x14ac:dyDescent="0.25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177</v>
      </c>
      <c r="F591" s="1" t="s">
        <v>22</v>
      </c>
      <c r="G591" s="3">
        <v>1462</v>
      </c>
      <c r="H591">
        <v>5</v>
      </c>
      <c r="I591" s="3">
        <v>3655</v>
      </c>
      <c r="J591">
        <v>76755</v>
      </c>
      <c r="K591" t="str">
        <f t="shared" si="9"/>
        <v>março</v>
      </c>
      <c r="L591" s="4">
        <v>43528</v>
      </c>
      <c r="M591" s="2">
        <v>0.51597222222222228</v>
      </c>
      <c r="N591" s="1" t="s">
        <v>29</v>
      </c>
      <c r="O591" s="3">
        <v>731</v>
      </c>
      <c r="P591">
        <v>4761904762</v>
      </c>
      <c r="Q591" s="3">
        <v>3655</v>
      </c>
      <c r="R591">
        <v>44</v>
      </c>
      <c r="S591" s="3">
        <f>G591*SuperMarket_Analysis[[#This Row],[Quantity]]</f>
        <v>7310</v>
      </c>
    </row>
    <row r="592" spans="1:19" x14ac:dyDescent="0.25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177</v>
      </c>
      <c r="F592" s="1" t="s">
        <v>22</v>
      </c>
      <c r="G592" s="3">
        <v>4653</v>
      </c>
      <c r="H592">
        <v>6</v>
      </c>
      <c r="I592" s="3">
        <v>13959</v>
      </c>
      <c r="J592">
        <v>293139</v>
      </c>
      <c r="K592" t="str">
        <f t="shared" si="9"/>
        <v>março</v>
      </c>
      <c r="L592" s="4">
        <v>43527</v>
      </c>
      <c r="M592" s="2">
        <v>0.45416666666666666</v>
      </c>
      <c r="N592" s="1" t="s">
        <v>32</v>
      </c>
      <c r="O592" s="3">
        <v>27918</v>
      </c>
      <c r="P592">
        <v>4761904762</v>
      </c>
      <c r="Q592" s="3">
        <v>13959</v>
      </c>
      <c r="R592">
        <v>43</v>
      </c>
      <c r="S592" s="3">
        <f>G592*SuperMarket_Analysis[[#This Row],[Quantity]]</f>
        <v>27918</v>
      </c>
    </row>
    <row r="593" spans="1:19" x14ac:dyDescent="0.25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3">
        <v>2424</v>
      </c>
      <c r="H593">
        <v>7</v>
      </c>
      <c r="I593" s="3">
        <v>8484</v>
      </c>
      <c r="J593">
        <v>178164</v>
      </c>
      <c r="K593" t="str">
        <f t="shared" si="9"/>
        <v>janeiro</v>
      </c>
      <c r="L593" s="4">
        <v>43492</v>
      </c>
      <c r="M593" s="2">
        <v>0.73472222222222228</v>
      </c>
      <c r="N593" s="1" t="s">
        <v>23</v>
      </c>
      <c r="O593" s="3">
        <v>16968</v>
      </c>
      <c r="P593">
        <v>4761904762</v>
      </c>
      <c r="Q593" s="3">
        <v>8484</v>
      </c>
      <c r="R593">
        <v>94</v>
      </c>
      <c r="S593" s="3">
        <f>G593*SuperMarket_Analysis[[#This Row],[Quantity]]</f>
        <v>16968</v>
      </c>
    </row>
    <row r="594" spans="1:19" x14ac:dyDescent="0.25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35</v>
      </c>
      <c r="G594" s="3">
        <v>4558</v>
      </c>
      <c r="H594">
        <v>1</v>
      </c>
      <c r="I594" s="3">
        <v>2279</v>
      </c>
      <c r="J594">
        <v>47859</v>
      </c>
      <c r="K594" t="str">
        <f t="shared" si="9"/>
        <v>fevereiro</v>
      </c>
      <c r="L594" s="4">
        <v>43503</v>
      </c>
      <c r="M594" s="2">
        <v>0.59236111111111112</v>
      </c>
      <c r="N594" s="1" t="s">
        <v>29</v>
      </c>
      <c r="O594" s="3">
        <v>4558</v>
      </c>
      <c r="P594">
        <v>4761904762</v>
      </c>
      <c r="Q594" s="3">
        <v>2279</v>
      </c>
      <c r="R594">
        <v>98</v>
      </c>
      <c r="S594" s="3">
        <f>G594*SuperMarket_Analysis[[#This Row],[Quantity]]</f>
        <v>4558</v>
      </c>
    </row>
    <row r="595" spans="1:19" x14ac:dyDescent="0.25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35</v>
      </c>
      <c r="G595" s="3">
        <v>752</v>
      </c>
      <c r="H595">
        <v>3</v>
      </c>
      <c r="I595" s="3">
        <v>1128</v>
      </c>
      <c r="J595">
        <v>23688</v>
      </c>
      <c r="K595" t="str">
        <f t="shared" si="9"/>
        <v>fevereiro</v>
      </c>
      <c r="L595" s="4">
        <v>43501</v>
      </c>
      <c r="M595" s="2">
        <v>0.49375000000000002</v>
      </c>
      <c r="N595" s="1" t="s">
        <v>23</v>
      </c>
      <c r="O595" s="3">
        <v>2256</v>
      </c>
      <c r="P595">
        <v>4761904762</v>
      </c>
      <c r="Q595" s="3">
        <v>1128</v>
      </c>
      <c r="R595">
        <v>48</v>
      </c>
      <c r="S595" s="3">
        <f>G595*SuperMarket_Analysis[[#This Row],[Quantity]]</f>
        <v>2256</v>
      </c>
    </row>
    <row r="596" spans="1:19" x14ac:dyDescent="0.25">
      <c r="A596" s="1" t="s">
        <v>630</v>
      </c>
      <c r="B596" s="1" t="s">
        <v>41</v>
      </c>
      <c r="C596" s="1" t="s">
        <v>42</v>
      </c>
      <c r="D596" s="1" t="s">
        <v>20</v>
      </c>
      <c r="E596" s="1" t="s">
        <v>177</v>
      </c>
      <c r="F596" s="1" t="s">
        <v>35</v>
      </c>
      <c r="G596" s="3">
        <v>968</v>
      </c>
      <c r="H596">
        <v>3</v>
      </c>
      <c r="I596" s="3">
        <v>1452</v>
      </c>
      <c r="J596">
        <v>30492</v>
      </c>
      <c r="K596" t="str">
        <f t="shared" si="9"/>
        <v>março</v>
      </c>
      <c r="L596" s="4">
        <v>43539</v>
      </c>
      <c r="M596" s="2">
        <v>0.54513888888888884</v>
      </c>
      <c r="N596" s="1" t="s">
        <v>29</v>
      </c>
      <c r="O596" s="3">
        <v>2904</v>
      </c>
      <c r="P596">
        <v>4761904762</v>
      </c>
      <c r="Q596" s="3">
        <v>1452</v>
      </c>
      <c r="R596">
        <v>53</v>
      </c>
      <c r="S596" s="3">
        <f>G596*SuperMarket_Analysis[[#This Row],[Quantity]]</f>
        <v>2904</v>
      </c>
    </row>
    <row r="597" spans="1:19" x14ac:dyDescent="0.25">
      <c r="A597" s="1" t="s">
        <v>631</v>
      </c>
      <c r="B597" s="1" t="s">
        <v>41</v>
      </c>
      <c r="C597" s="1" t="s">
        <v>42</v>
      </c>
      <c r="D597" s="1" t="s">
        <v>27</v>
      </c>
      <c r="E597" s="1" t="s">
        <v>177</v>
      </c>
      <c r="F597" s="1" t="s">
        <v>22</v>
      </c>
      <c r="G597" s="3">
        <v>1482</v>
      </c>
      <c r="H597">
        <v>3</v>
      </c>
      <c r="I597" s="3">
        <v>2223</v>
      </c>
      <c r="J597">
        <v>46683</v>
      </c>
      <c r="K597" t="str">
        <f t="shared" si="9"/>
        <v>março</v>
      </c>
      <c r="L597" s="4">
        <v>43525</v>
      </c>
      <c r="M597" s="2">
        <v>0.47916666666666669</v>
      </c>
      <c r="N597" s="1" t="s">
        <v>32</v>
      </c>
      <c r="O597" s="3">
        <v>4446</v>
      </c>
      <c r="P597">
        <v>4761904762</v>
      </c>
      <c r="Q597" s="3">
        <v>2223</v>
      </c>
      <c r="R597">
        <v>87</v>
      </c>
      <c r="S597" s="3">
        <f>G597*SuperMarket_Analysis[[#This Row],[Quantity]]</f>
        <v>4446</v>
      </c>
    </row>
    <row r="598" spans="1:19" x14ac:dyDescent="0.25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177</v>
      </c>
      <c r="F598" s="1" t="s">
        <v>43</v>
      </c>
      <c r="G598" s="3">
        <v>522</v>
      </c>
      <c r="H598">
        <v>3</v>
      </c>
      <c r="I598" s="3">
        <v>783</v>
      </c>
      <c r="J598">
        <v>16443</v>
      </c>
      <c r="K598" t="str">
        <f t="shared" si="9"/>
        <v>fevereiro</v>
      </c>
      <c r="L598" s="4">
        <v>43511</v>
      </c>
      <c r="M598" s="2">
        <v>0.5625</v>
      </c>
      <c r="N598" s="1" t="s">
        <v>32</v>
      </c>
      <c r="O598" s="3">
        <v>1566</v>
      </c>
      <c r="P598">
        <v>4761904762</v>
      </c>
      <c r="Q598" s="3">
        <v>783</v>
      </c>
      <c r="R598">
        <v>95</v>
      </c>
      <c r="S598" s="3">
        <f>G598*SuperMarket_Analysis[[#This Row],[Quantity]]</f>
        <v>1566</v>
      </c>
    </row>
    <row r="599" spans="1:19" x14ac:dyDescent="0.25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35</v>
      </c>
      <c r="G599" s="3">
        <v>4666</v>
      </c>
      <c r="H599">
        <v>9</v>
      </c>
      <c r="I599" s="3">
        <v>20997</v>
      </c>
      <c r="J599">
        <v>440937</v>
      </c>
      <c r="K599" t="str">
        <f t="shared" si="9"/>
        <v>fevereiro</v>
      </c>
      <c r="L599" s="4">
        <v>43513</v>
      </c>
      <c r="M599" s="2">
        <v>0.7993055555555556</v>
      </c>
      <c r="N599" s="1" t="s">
        <v>23</v>
      </c>
      <c r="O599" s="3">
        <v>41994</v>
      </c>
      <c r="P599">
        <v>4761904762</v>
      </c>
      <c r="Q599" s="3">
        <v>20997</v>
      </c>
      <c r="R599">
        <v>53</v>
      </c>
      <c r="S599" s="3">
        <f>G599*SuperMarket_Analysis[[#This Row],[Quantity]]</f>
        <v>41994</v>
      </c>
    </row>
    <row r="600" spans="1:19" x14ac:dyDescent="0.25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45</v>
      </c>
      <c r="G600" s="3">
        <v>3685</v>
      </c>
      <c r="H600">
        <v>5</v>
      </c>
      <c r="I600" s="3">
        <v>92125</v>
      </c>
      <c r="J600">
        <v>1934625</v>
      </c>
      <c r="K600" t="str">
        <f t="shared" si="9"/>
        <v>janeiro</v>
      </c>
      <c r="L600" s="4">
        <v>43491</v>
      </c>
      <c r="M600" s="2">
        <v>0.78680555555555554</v>
      </c>
      <c r="N600" s="1" t="s">
        <v>29</v>
      </c>
      <c r="O600" s="3">
        <v>18425</v>
      </c>
      <c r="P600">
        <v>4761904762</v>
      </c>
      <c r="Q600" s="3">
        <v>92125</v>
      </c>
      <c r="R600">
        <v>92</v>
      </c>
      <c r="S600" s="3">
        <f>G600*SuperMarket_Analysis[[#This Row],[Quantity]]</f>
        <v>18425</v>
      </c>
    </row>
    <row r="601" spans="1:19" x14ac:dyDescent="0.25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3">
        <v>7032</v>
      </c>
      <c r="H601">
        <v>2</v>
      </c>
      <c r="I601" s="3">
        <v>7032</v>
      </c>
      <c r="J601">
        <v>147672</v>
      </c>
      <c r="K601" t="str">
        <f t="shared" si="9"/>
        <v>março</v>
      </c>
      <c r="L601" s="4">
        <v>43548</v>
      </c>
      <c r="M601" s="2">
        <v>0.59861111111111109</v>
      </c>
      <c r="N601" s="1" t="s">
        <v>23</v>
      </c>
      <c r="O601" s="3">
        <v>14064</v>
      </c>
      <c r="P601">
        <v>4761904762</v>
      </c>
      <c r="Q601" s="3">
        <v>7032</v>
      </c>
      <c r="R601">
        <v>96</v>
      </c>
      <c r="S601" s="3">
        <f>G601*SuperMarket_Analysis[[#This Row],[Quantity]]</f>
        <v>14064</v>
      </c>
    </row>
    <row r="602" spans="1:19" x14ac:dyDescent="0.25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177</v>
      </c>
      <c r="F602" s="1" t="s">
        <v>28</v>
      </c>
      <c r="G602" s="3">
        <v>8308</v>
      </c>
      <c r="H602">
        <v>1</v>
      </c>
      <c r="I602" s="3">
        <v>4154</v>
      </c>
      <c r="J602">
        <v>87234</v>
      </c>
      <c r="K602" t="str">
        <f t="shared" si="9"/>
        <v>janeiro</v>
      </c>
      <c r="L602" s="4">
        <v>43488</v>
      </c>
      <c r="M602" s="2">
        <v>0.71944444444444444</v>
      </c>
      <c r="N602" s="1" t="s">
        <v>23</v>
      </c>
      <c r="O602" s="3">
        <v>8308</v>
      </c>
      <c r="P602">
        <v>4761904762</v>
      </c>
      <c r="Q602" s="3">
        <v>4154</v>
      </c>
      <c r="R602">
        <v>64</v>
      </c>
      <c r="S602" s="3">
        <f>G602*SuperMarket_Analysis[[#This Row],[Quantity]]</f>
        <v>8308</v>
      </c>
    </row>
    <row r="603" spans="1:19" x14ac:dyDescent="0.25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45</v>
      </c>
      <c r="G603" s="3">
        <v>6499</v>
      </c>
      <c r="H603">
        <v>1</v>
      </c>
      <c r="I603" s="3">
        <v>32495</v>
      </c>
      <c r="J603">
        <v>682395</v>
      </c>
      <c r="K603" t="str">
        <f t="shared" si="9"/>
        <v>janeiro</v>
      </c>
      <c r="L603" s="4">
        <v>43491</v>
      </c>
      <c r="M603" s="2">
        <v>0.42083333333333334</v>
      </c>
      <c r="N603" s="1" t="s">
        <v>32</v>
      </c>
      <c r="O603" s="3">
        <v>6499</v>
      </c>
      <c r="P603">
        <v>4761904762</v>
      </c>
      <c r="Q603" s="3">
        <v>32495</v>
      </c>
      <c r="R603">
        <v>45</v>
      </c>
      <c r="S603" s="3">
        <f>G603*SuperMarket_Analysis[[#This Row],[Quantity]]</f>
        <v>6499</v>
      </c>
    </row>
    <row r="604" spans="1:19" x14ac:dyDescent="0.25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177</v>
      </c>
      <c r="F604" s="1" t="s">
        <v>43</v>
      </c>
      <c r="G604" s="3">
        <v>7756</v>
      </c>
      <c r="H604">
        <v>10</v>
      </c>
      <c r="I604" s="3">
        <v>3878</v>
      </c>
      <c r="J604">
        <v>81438</v>
      </c>
      <c r="K604" t="str">
        <f t="shared" si="9"/>
        <v>março</v>
      </c>
      <c r="L604" s="4">
        <v>43538</v>
      </c>
      <c r="M604" s="2">
        <v>0.85763888888888884</v>
      </c>
      <c r="N604" s="1" t="s">
        <v>23</v>
      </c>
      <c r="O604" s="3">
        <v>7756</v>
      </c>
      <c r="P604">
        <v>4761904762</v>
      </c>
      <c r="Q604" s="3">
        <v>3878</v>
      </c>
      <c r="R604">
        <v>69</v>
      </c>
      <c r="S604" s="3">
        <f>G604*SuperMarket_Analysis[[#This Row],[Quantity]]</f>
        <v>77560</v>
      </c>
    </row>
    <row r="605" spans="1:19" x14ac:dyDescent="0.25">
      <c r="A605" s="1" t="s">
        <v>639</v>
      </c>
      <c r="B605" s="1" t="s">
        <v>41</v>
      </c>
      <c r="C605" s="1" t="s">
        <v>42</v>
      </c>
      <c r="D605" s="1" t="s">
        <v>27</v>
      </c>
      <c r="E605" s="1" t="s">
        <v>21</v>
      </c>
      <c r="F605" s="1" t="s">
        <v>35</v>
      </c>
      <c r="G605" s="3">
        <v>5451</v>
      </c>
      <c r="H605">
        <v>6</v>
      </c>
      <c r="I605" s="3">
        <v>16353</v>
      </c>
      <c r="J605">
        <v>343413</v>
      </c>
      <c r="K605" t="str">
        <f t="shared" si="9"/>
        <v>março</v>
      </c>
      <c r="L605" s="4">
        <v>43541</v>
      </c>
      <c r="M605" s="2">
        <v>0.57916666666666672</v>
      </c>
      <c r="N605" s="1" t="s">
        <v>23</v>
      </c>
      <c r="O605" s="3">
        <v>32706</v>
      </c>
      <c r="P605">
        <v>4761904762</v>
      </c>
      <c r="Q605" s="3">
        <v>16353</v>
      </c>
      <c r="R605">
        <v>78</v>
      </c>
      <c r="S605" s="3">
        <f>G605*SuperMarket_Analysis[[#This Row],[Quantity]]</f>
        <v>32706</v>
      </c>
    </row>
    <row r="606" spans="1:19" x14ac:dyDescent="0.25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45</v>
      </c>
      <c r="G606" s="3">
        <v>5189</v>
      </c>
      <c r="H606">
        <v>7</v>
      </c>
      <c r="I606" s="3">
        <v>181615</v>
      </c>
      <c r="J606">
        <v>3813915</v>
      </c>
      <c r="K606" t="str">
        <f t="shared" si="9"/>
        <v>janeiro</v>
      </c>
      <c r="L606" s="4">
        <v>43473</v>
      </c>
      <c r="M606" s="2">
        <v>0.83888888888888891</v>
      </c>
      <c r="N606" s="1" t="s">
        <v>29</v>
      </c>
      <c r="O606" s="3">
        <v>36323</v>
      </c>
      <c r="P606">
        <v>4761904762</v>
      </c>
      <c r="Q606" s="3">
        <v>181615</v>
      </c>
      <c r="R606">
        <v>45</v>
      </c>
      <c r="S606" s="3">
        <f>G606*SuperMarket_Analysis[[#This Row],[Quantity]]</f>
        <v>36323</v>
      </c>
    </row>
    <row r="607" spans="1:19" x14ac:dyDescent="0.25">
      <c r="A607" s="1" t="s">
        <v>641</v>
      </c>
      <c r="B607" s="1" t="s">
        <v>41</v>
      </c>
      <c r="C607" s="1" t="s">
        <v>42</v>
      </c>
      <c r="D607" s="1" t="s">
        <v>27</v>
      </c>
      <c r="E607" s="1" t="s">
        <v>177</v>
      </c>
      <c r="F607" s="1" t="s">
        <v>31</v>
      </c>
      <c r="G607" s="3">
        <v>3175</v>
      </c>
      <c r="H607">
        <v>4</v>
      </c>
      <c r="I607" s="3">
        <v>635</v>
      </c>
      <c r="J607">
        <v>13335</v>
      </c>
      <c r="K607" t="str">
        <f t="shared" si="9"/>
        <v>fevereiro</v>
      </c>
      <c r="L607" s="4">
        <v>43504</v>
      </c>
      <c r="M607" s="2">
        <v>0.6430555555555556</v>
      </c>
      <c r="N607" s="1" t="s">
        <v>29</v>
      </c>
      <c r="O607" s="3">
        <v>127</v>
      </c>
      <c r="P607">
        <v>4761904762</v>
      </c>
      <c r="Q607" s="3">
        <v>635</v>
      </c>
      <c r="R607">
        <v>86</v>
      </c>
      <c r="S607" s="3">
        <f>G607*SuperMarket_Analysis[[#This Row],[Quantity]]</f>
        <v>12700</v>
      </c>
    </row>
    <row r="608" spans="1:19" x14ac:dyDescent="0.25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45</v>
      </c>
      <c r="G608" s="3">
        <v>5365</v>
      </c>
      <c r="H608">
        <v>7</v>
      </c>
      <c r="I608" s="3">
        <v>187775</v>
      </c>
      <c r="J608">
        <v>3943275</v>
      </c>
      <c r="K608" t="str">
        <f t="shared" si="9"/>
        <v>fevereiro</v>
      </c>
      <c r="L608" s="4">
        <v>43506</v>
      </c>
      <c r="M608" s="2">
        <v>0.53888888888888886</v>
      </c>
      <c r="N608" s="1" t="s">
        <v>23</v>
      </c>
      <c r="O608" s="3">
        <v>37555</v>
      </c>
      <c r="P608">
        <v>4761904762</v>
      </c>
      <c r="Q608" s="3">
        <v>187775</v>
      </c>
      <c r="R608">
        <v>52</v>
      </c>
      <c r="S608" s="3">
        <f>G608*SuperMarket_Analysis[[#This Row],[Quantity]]</f>
        <v>37555</v>
      </c>
    </row>
    <row r="609" spans="1:19" x14ac:dyDescent="0.25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43</v>
      </c>
      <c r="G609" s="3">
        <v>4979</v>
      </c>
      <c r="H609">
        <v>4</v>
      </c>
      <c r="I609" s="3">
        <v>9958</v>
      </c>
      <c r="J609">
        <v>209118</v>
      </c>
      <c r="K609" t="str">
        <f t="shared" si="9"/>
        <v>março</v>
      </c>
      <c r="L609" s="4">
        <v>43552</v>
      </c>
      <c r="M609" s="2">
        <v>0.80277777777777781</v>
      </c>
      <c r="N609" s="1" t="s">
        <v>32</v>
      </c>
      <c r="O609" s="3">
        <v>19916</v>
      </c>
      <c r="P609">
        <v>4761904762</v>
      </c>
      <c r="Q609" s="3">
        <v>9958</v>
      </c>
      <c r="R609">
        <v>64</v>
      </c>
      <c r="S609" s="3">
        <f>G609*SuperMarket_Analysis[[#This Row],[Quantity]]</f>
        <v>19916</v>
      </c>
    </row>
    <row r="610" spans="1:19" x14ac:dyDescent="0.25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177</v>
      </c>
      <c r="F610" s="1" t="s">
        <v>45</v>
      </c>
      <c r="G610" s="3">
        <v>3061</v>
      </c>
      <c r="H610">
        <v>1</v>
      </c>
      <c r="I610" s="3">
        <v>15305</v>
      </c>
      <c r="J610">
        <v>321405</v>
      </c>
      <c r="K610" t="str">
        <f t="shared" si="9"/>
        <v>janeiro</v>
      </c>
      <c r="L610" s="4">
        <v>43488</v>
      </c>
      <c r="M610" s="2">
        <v>0.51388888888888884</v>
      </c>
      <c r="N610" s="1" t="s">
        <v>23</v>
      </c>
      <c r="O610" s="3">
        <v>3061</v>
      </c>
      <c r="P610">
        <v>4761904762</v>
      </c>
      <c r="Q610" s="3">
        <v>15305</v>
      </c>
      <c r="R610">
        <v>52</v>
      </c>
      <c r="S610" s="3">
        <f>G610*SuperMarket_Analysis[[#This Row],[Quantity]]</f>
        <v>3061</v>
      </c>
    </row>
    <row r="611" spans="1:19" x14ac:dyDescent="0.25">
      <c r="A611" s="1" t="s">
        <v>645</v>
      </c>
      <c r="B611" s="1" t="s">
        <v>41</v>
      </c>
      <c r="C611" s="1" t="s">
        <v>42</v>
      </c>
      <c r="D611" s="1" t="s">
        <v>20</v>
      </c>
      <c r="E611" s="1" t="s">
        <v>177</v>
      </c>
      <c r="F611" s="1" t="s">
        <v>43</v>
      </c>
      <c r="G611" s="3">
        <v>5789</v>
      </c>
      <c r="H611">
        <v>2</v>
      </c>
      <c r="I611" s="3">
        <v>5789</v>
      </c>
      <c r="J611">
        <v>121569</v>
      </c>
      <c r="K611" t="str">
        <f t="shared" si="9"/>
        <v>janeiro</v>
      </c>
      <c r="L611" s="4">
        <v>43482</v>
      </c>
      <c r="M611" s="2">
        <v>0.44236111111111109</v>
      </c>
      <c r="N611" s="1" t="s">
        <v>23</v>
      </c>
      <c r="O611" s="3">
        <v>11578</v>
      </c>
      <c r="P611">
        <v>4761904762</v>
      </c>
      <c r="Q611" s="3">
        <v>5789</v>
      </c>
      <c r="R611">
        <v>89</v>
      </c>
      <c r="S611" s="3">
        <f>G611*SuperMarket_Analysis[[#This Row],[Quantity]]</f>
        <v>11578</v>
      </c>
    </row>
    <row r="612" spans="1:19" x14ac:dyDescent="0.25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3">
        <v>2896</v>
      </c>
      <c r="H612">
        <v>1</v>
      </c>
      <c r="I612" s="3">
        <v>1448</v>
      </c>
      <c r="J612">
        <v>30408</v>
      </c>
      <c r="K612" t="str">
        <f t="shared" si="9"/>
        <v>fevereiro</v>
      </c>
      <c r="L612" s="4">
        <v>43503</v>
      </c>
      <c r="M612" s="2">
        <v>0.42916666666666664</v>
      </c>
      <c r="N612" s="1" t="s">
        <v>32</v>
      </c>
      <c r="O612" s="3">
        <v>2896</v>
      </c>
      <c r="P612">
        <v>4761904762</v>
      </c>
      <c r="Q612" s="3">
        <v>1448</v>
      </c>
      <c r="R612">
        <v>62</v>
      </c>
      <c r="S612" s="3">
        <f>G612*SuperMarket_Analysis[[#This Row],[Quantity]]</f>
        <v>2896</v>
      </c>
    </row>
    <row r="613" spans="1:19" x14ac:dyDescent="0.25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43</v>
      </c>
      <c r="G613" s="3">
        <v>9897</v>
      </c>
      <c r="H613">
        <v>9</v>
      </c>
      <c r="I613" s="3">
        <v>445365</v>
      </c>
      <c r="J613">
        <v>9352665</v>
      </c>
      <c r="K613" t="str">
        <f t="shared" si="9"/>
        <v>março</v>
      </c>
      <c r="L613" s="4">
        <v>43533</v>
      </c>
      <c r="M613" s="2">
        <v>0.47430555555555554</v>
      </c>
      <c r="N613" s="1" t="s">
        <v>29</v>
      </c>
      <c r="O613" s="3">
        <v>89073</v>
      </c>
      <c r="P613">
        <v>4761904762</v>
      </c>
      <c r="Q613" s="3">
        <v>445365</v>
      </c>
      <c r="R613">
        <v>67</v>
      </c>
      <c r="S613" s="3">
        <f>G613*SuperMarket_Analysis[[#This Row],[Quantity]]</f>
        <v>89073</v>
      </c>
    </row>
    <row r="614" spans="1:19" x14ac:dyDescent="0.25">
      <c r="A614" s="1" t="s">
        <v>648</v>
      </c>
      <c r="B614" s="1" t="s">
        <v>41</v>
      </c>
      <c r="C614" s="1" t="s">
        <v>42</v>
      </c>
      <c r="D614" s="1" t="s">
        <v>20</v>
      </c>
      <c r="E614" s="1" t="s">
        <v>177</v>
      </c>
      <c r="F614" s="1" t="s">
        <v>45</v>
      </c>
      <c r="G614" s="3">
        <v>9322</v>
      </c>
      <c r="H614">
        <v>3</v>
      </c>
      <c r="I614" s="3">
        <v>13983</v>
      </c>
      <c r="J614">
        <v>293643</v>
      </c>
      <c r="K614" t="str">
        <f t="shared" si="9"/>
        <v>janeiro</v>
      </c>
      <c r="L614" s="4">
        <v>43489</v>
      </c>
      <c r="M614" s="2">
        <v>0.48958333333333331</v>
      </c>
      <c r="N614" s="1" t="s">
        <v>29</v>
      </c>
      <c r="O614" s="3">
        <v>27966</v>
      </c>
      <c r="P614">
        <v>4761904762</v>
      </c>
      <c r="Q614" s="3">
        <v>13983</v>
      </c>
      <c r="R614">
        <v>72</v>
      </c>
      <c r="S614" s="3">
        <f>G614*SuperMarket_Analysis[[#This Row],[Quantity]]</f>
        <v>27966</v>
      </c>
    </row>
    <row r="615" spans="1:19" x14ac:dyDescent="0.25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177</v>
      </c>
      <c r="F615" s="1" t="s">
        <v>35</v>
      </c>
      <c r="G615" s="3">
        <v>8093</v>
      </c>
      <c r="H615">
        <v>1</v>
      </c>
      <c r="I615" s="3">
        <v>40465</v>
      </c>
      <c r="J615">
        <v>849765</v>
      </c>
      <c r="K615" t="str">
        <f t="shared" si="9"/>
        <v>janeiro</v>
      </c>
      <c r="L615" s="4">
        <v>43484</v>
      </c>
      <c r="M615" s="2">
        <v>0.67222222222222228</v>
      </c>
      <c r="N615" s="1" t="s">
        <v>32</v>
      </c>
      <c r="O615" s="3">
        <v>8093</v>
      </c>
      <c r="P615">
        <v>4761904762</v>
      </c>
      <c r="Q615" s="3">
        <v>40465</v>
      </c>
      <c r="R615">
        <v>9</v>
      </c>
      <c r="S615" s="3">
        <f>G615*SuperMarket_Analysis[[#This Row],[Quantity]]</f>
        <v>8093</v>
      </c>
    </row>
    <row r="616" spans="1:19" x14ac:dyDescent="0.25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177</v>
      </c>
      <c r="F616" s="1" t="s">
        <v>43</v>
      </c>
      <c r="G616" s="3">
        <v>6745</v>
      </c>
      <c r="H616">
        <v>10</v>
      </c>
      <c r="I616" s="3">
        <v>33725</v>
      </c>
      <c r="J616">
        <v>708225</v>
      </c>
      <c r="K616" t="str">
        <f t="shared" si="9"/>
        <v>fevereiro</v>
      </c>
      <c r="L616" s="4">
        <v>43499</v>
      </c>
      <c r="M616" s="2">
        <v>0.47569444444444442</v>
      </c>
      <c r="N616" s="1" t="s">
        <v>23</v>
      </c>
      <c r="O616" s="3">
        <v>6745</v>
      </c>
      <c r="P616">
        <v>4761904762</v>
      </c>
      <c r="Q616" s="3">
        <v>33725</v>
      </c>
      <c r="R616">
        <v>42</v>
      </c>
      <c r="S616" s="3">
        <f>G616*SuperMarket_Analysis[[#This Row],[Quantity]]</f>
        <v>67450</v>
      </c>
    </row>
    <row r="617" spans="1:19" x14ac:dyDescent="0.25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35</v>
      </c>
      <c r="G617" s="3">
        <v>3872</v>
      </c>
      <c r="H617">
        <v>9</v>
      </c>
      <c r="I617" s="3">
        <v>17424</v>
      </c>
      <c r="J617">
        <v>365904</v>
      </c>
      <c r="K617" t="str">
        <f t="shared" si="9"/>
        <v>março</v>
      </c>
      <c r="L617" s="4">
        <v>43544</v>
      </c>
      <c r="M617" s="2">
        <v>0.51666666666666672</v>
      </c>
      <c r="N617" s="1" t="s">
        <v>23</v>
      </c>
      <c r="O617" s="3">
        <v>34848</v>
      </c>
      <c r="P617">
        <v>4761904762</v>
      </c>
      <c r="Q617" s="3">
        <v>17424</v>
      </c>
      <c r="R617">
        <v>42</v>
      </c>
      <c r="S617" s="3">
        <f>G617*SuperMarket_Analysis[[#This Row],[Quantity]]</f>
        <v>34848</v>
      </c>
    </row>
    <row r="618" spans="1:19" x14ac:dyDescent="0.25">
      <c r="A618" s="1" t="s">
        <v>652</v>
      </c>
      <c r="B618" s="1" t="s">
        <v>41</v>
      </c>
      <c r="C618" s="1" t="s">
        <v>42</v>
      </c>
      <c r="D618" s="1" t="s">
        <v>20</v>
      </c>
      <c r="E618" s="1" t="s">
        <v>177</v>
      </c>
      <c r="F618" s="1" t="s">
        <v>35</v>
      </c>
      <c r="G618" s="3">
        <v>726</v>
      </c>
      <c r="H618">
        <v>6</v>
      </c>
      <c r="I618" s="3">
        <v>2178</v>
      </c>
      <c r="J618">
        <v>45738</v>
      </c>
      <c r="K618" t="str">
        <f t="shared" si="9"/>
        <v>janeiro</v>
      </c>
      <c r="L618" s="4">
        <v>43478</v>
      </c>
      <c r="M618" s="2">
        <v>0.82708333333333328</v>
      </c>
      <c r="N618" s="1" t="s">
        <v>29</v>
      </c>
      <c r="O618" s="3">
        <v>4356</v>
      </c>
      <c r="P618">
        <v>4761904762</v>
      </c>
      <c r="Q618" s="3">
        <v>2178</v>
      </c>
      <c r="R618">
        <v>69</v>
      </c>
      <c r="S618" s="3">
        <f>G618*SuperMarket_Analysis[[#This Row],[Quantity]]</f>
        <v>4356</v>
      </c>
    </row>
    <row r="619" spans="1:19" x14ac:dyDescent="0.25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177</v>
      </c>
      <c r="F619" s="1" t="s">
        <v>28</v>
      </c>
      <c r="G619" s="3">
        <v>8791</v>
      </c>
      <c r="H619">
        <v>5</v>
      </c>
      <c r="I619" s="3">
        <v>219775</v>
      </c>
      <c r="J619">
        <v>4615275</v>
      </c>
      <c r="K619" t="str">
        <f t="shared" si="9"/>
        <v>março</v>
      </c>
      <c r="L619" s="4">
        <v>43538</v>
      </c>
      <c r="M619" s="2">
        <v>0.75694444444444442</v>
      </c>
      <c r="N619" s="1" t="s">
        <v>23</v>
      </c>
      <c r="O619" s="3">
        <v>43955</v>
      </c>
      <c r="P619">
        <v>4761904762</v>
      </c>
      <c r="Q619" s="3">
        <v>219775</v>
      </c>
      <c r="R619">
        <v>44</v>
      </c>
      <c r="S619" s="3">
        <f>G619*SuperMarket_Analysis[[#This Row],[Quantity]]</f>
        <v>43955</v>
      </c>
    </row>
    <row r="620" spans="1:19" x14ac:dyDescent="0.25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177</v>
      </c>
      <c r="F620" s="1" t="s">
        <v>43</v>
      </c>
      <c r="G620" s="3">
        <v>9853</v>
      </c>
      <c r="H620">
        <v>6</v>
      </c>
      <c r="I620" s="3">
        <v>29559</v>
      </c>
      <c r="J620">
        <v>620739</v>
      </c>
      <c r="K620" t="str">
        <f t="shared" si="9"/>
        <v>janeiro</v>
      </c>
      <c r="L620" s="4">
        <v>43488</v>
      </c>
      <c r="M620" s="2">
        <v>0.47361111111111109</v>
      </c>
      <c r="N620" s="1" t="s">
        <v>32</v>
      </c>
      <c r="O620" s="3">
        <v>59118</v>
      </c>
      <c r="P620">
        <v>4761904762</v>
      </c>
      <c r="Q620" s="3">
        <v>29559</v>
      </c>
      <c r="R620">
        <v>4</v>
      </c>
      <c r="S620" s="3">
        <f>G620*SuperMarket_Analysis[[#This Row],[Quantity]]</f>
        <v>59118</v>
      </c>
    </row>
    <row r="621" spans="1:19" x14ac:dyDescent="0.25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45</v>
      </c>
      <c r="G621" s="3">
        <v>4346</v>
      </c>
      <c r="H621">
        <v>6</v>
      </c>
      <c r="I621" s="3">
        <v>13038</v>
      </c>
      <c r="J621">
        <v>273798</v>
      </c>
      <c r="K621" t="str">
        <f t="shared" si="9"/>
        <v>fevereiro</v>
      </c>
      <c r="L621" s="4">
        <v>43503</v>
      </c>
      <c r="M621" s="2">
        <v>0.74652777777777779</v>
      </c>
      <c r="N621" s="1" t="s">
        <v>23</v>
      </c>
      <c r="O621" s="3">
        <v>26076</v>
      </c>
      <c r="P621">
        <v>4761904762</v>
      </c>
      <c r="Q621" s="3">
        <v>13038</v>
      </c>
      <c r="R621">
        <v>85</v>
      </c>
      <c r="S621" s="3">
        <f>G621*SuperMarket_Analysis[[#This Row],[Quantity]]</f>
        <v>26076</v>
      </c>
    </row>
    <row r="622" spans="1:19" x14ac:dyDescent="0.25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43</v>
      </c>
      <c r="G622" s="3">
        <v>7168</v>
      </c>
      <c r="H622">
        <v>3</v>
      </c>
      <c r="I622" s="3">
        <v>10752</v>
      </c>
      <c r="J622">
        <v>225792</v>
      </c>
      <c r="K622" t="str">
        <f t="shared" si="9"/>
        <v>março</v>
      </c>
      <c r="L622" s="4">
        <v>43552</v>
      </c>
      <c r="M622" s="2">
        <v>0.64583333333333337</v>
      </c>
      <c r="N622" s="1" t="s">
        <v>32</v>
      </c>
      <c r="O622" s="3">
        <v>21504</v>
      </c>
      <c r="P622">
        <v>4761904762</v>
      </c>
      <c r="Q622" s="3">
        <v>10752</v>
      </c>
      <c r="R622">
        <v>92</v>
      </c>
      <c r="S622" s="3">
        <f>G622*SuperMarket_Analysis[[#This Row],[Quantity]]</f>
        <v>21504</v>
      </c>
    </row>
    <row r="623" spans="1:19" x14ac:dyDescent="0.25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43</v>
      </c>
      <c r="G623" s="3">
        <v>9161</v>
      </c>
      <c r="H623">
        <v>1</v>
      </c>
      <c r="I623" s="3">
        <v>45805</v>
      </c>
      <c r="J623">
        <v>961905</v>
      </c>
      <c r="K623" t="str">
        <f t="shared" si="9"/>
        <v>março</v>
      </c>
      <c r="L623" s="4">
        <v>43544</v>
      </c>
      <c r="M623" s="2">
        <v>0.82222222222222219</v>
      </c>
      <c r="N623" s="1" t="s">
        <v>29</v>
      </c>
      <c r="O623" s="3">
        <v>9161</v>
      </c>
      <c r="P623">
        <v>4761904762</v>
      </c>
      <c r="Q623" s="3">
        <v>45805</v>
      </c>
      <c r="R623">
        <v>98</v>
      </c>
      <c r="S623" s="3">
        <f>G623*SuperMarket_Analysis[[#This Row],[Quantity]]</f>
        <v>9161</v>
      </c>
    </row>
    <row r="624" spans="1:19" x14ac:dyDescent="0.25">
      <c r="A624" s="1" t="s">
        <v>658</v>
      </c>
      <c r="B624" s="1" t="s">
        <v>41</v>
      </c>
      <c r="C624" s="1" t="s">
        <v>42</v>
      </c>
      <c r="D624" s="1" t="s">
        <v>20</v>
      </c>
      <c r="E624" s="1" t="s">
        <v>21</v>
      </c>
      <c r="F624" s="1" t="s">
        <v>31</v>
      </c>
      <c r="G624" s="3">
        <v>9459</v>
      </c>
      <c r="H624">
        <v>7</v>
      </c>
      <c r="I624" s="3">
        <v>331065</v>
      </c>
      <c r="J624">
        <v>6952365</v>
      </c>
      <c r="K624" t="str">
        <f t="shared" si="9"/>
        <v>janeiro</v>
      </c>
      <c r="L624" s="4">
        <v>43482</v>
      </c>
      <c r="M624" s="2">
        <v>0.64375000000000004</v>
      </c>
      <c r="N624" s="1" t="s">
        <v>32</v>
      </c>
      <c r="O624" s="3">
        <v>66213</v>
      </c>
      <c r="P624">
        <v>4761904762</v>
      </c>
      <c r="Q624" s="3">
        <v>331065</v>
      </c>
      <c r="R624">
        <v>49</v>
      </c>
      <c r="S624" s="3">
        <f>G624*SuperMarket_Analysis[[#This Row],[Quantity]]</f>
        <v>66213</v>
      </c>
    </row>
    <row r="625" spans="1:19" x14ac:dyDescent="0.25">
      <c r="A625" s="1" t="s">
        <v>659</v>
      </c>
      <c r="B625" s="1" t="s">
        <v>41</v>
      </c>
      <c r="C625" s="1" t="s">
        <v>42</v>
      </c>
      <c r="D625" s="1" t="s">
        <v>27</v>
      </c>
      <c r="E625" s="1" t="s">
        <v>21</v>
      </c>
      <c r="F625" s="1" t="s">
        <v>45</v>
      </c>
      <c r="G625" s="3">
        <v>8325</v>
      </c>
      <c r="H625">
        <v>10</v>
      </c>
      <c r="I625" s="3">
        <v>41625</v>
      </c>
      <c r="J625">
        <v>874125</v>
      </c>
      <c r="K625" t="str">
        <f t="shared" si="9"/>
        <v>janeiro</v>
      </c>
      <c r="L625" s="4">
        <v>43477</v>
      </c>
      <c r="M625" s="2">
        <v>0.47569444444444442</v>
      </c>
      <c r="N625" s="1" t="s">
        <v>32</v>
      </c>
      <c r="O625" s="3">
        <v>8325</v>
      </c>
      <c r="P625">
        <v>4761904762</v>
      </c>
      <c r="Q625" s="3">
        <v>41625</v>
      </c>
      <c r="R625">
        <v>44</v>
      </c>
      <c r="S625" s="3">
        <f>G625*SuperMarket_Analysis[[#This Row],[Quantity]]</f>
        <v>83250</v>
      </c>
    </row>
    <row r="626" spans="1:19" x14ac:dyDescent="0.25">
      <c r="A626" s="1" t="s">
        <v>660</v>
      </c>
      <c r="B626" s="1" t="s">
        <v>41</v>
      </c>
      <c r="C626" s="1" t="s">
        <v>42</v>
      </c>
      <c r="D626" s="1" t="s">
        <v>20</v>
      </c>
      <c r="E626" s="1" t="s">
        <v>177</v>
      </c>
      <c r="F626" s="1" t="s">
        <v>45</v>
      </c>
      <c r="G626" s="3">
        <v>9135</v>
      </c>
      <c r="H626">
        <v>1</v>
      </c>
      <c r="I626" s="3">
        <v>45675</v>
      </c>
      <c r="J626">
        <v>959175</v>
      </c>
      <c r="K626" t="str">
        <f t="shared" si="9"/>
        <v>fevereiro</v>
      </c>
      <c r="L626" s="4">
        <v>43512</v>
      </c>
      <c r="M626" s="2">
        <v>0.65416666666666667</v>
      </c>
      <c r="N626" s="1" t="s">
        <v>29</v>
      </c>
      <c r="O626" s="3">
        <v>9135</v>
      </c>
      <c r="P626">
        <v>4761904762</v>
      </c>
      <c r="Q626" s="3">
        <v>45675</v>
      </c>
      <c r="R626">
        <v>68</v>
      </c>
      <c r="S626" s="3">
        <f>G626*SuperMarket_Analysis[[#This Row],[Quantity]]</f>
        <v>9135</v>
      </c>
    </row>
    <row r="627" spans="1:19" x14ac:dyDescent="0.25">
      <c r="A627" s="1" t="s">
        <v>661</v>
      </c>
      <c r="B627" s="1" t="s">
        <v>41</v>
      </c>
      <c r="C627" s="1" t="s">
        <v>42</v>
      </c>
      <c r="D627" s="1" t="s">
        <v>20</v>
      </c>
      <c r="E627" s="1" t="s">
        <v>21</v>
      </c>
      <c r="F627" s="1" t="s">
        <v>43</v>
      </c>
      <c r="G627" s="3">
        <v>7888</v>
      </c>
      <c r="H627">
        <v>2</v>
      </c>
      <c r="I627" s="3">
        <v>7888</v>
      </c>
      <c r="J627">
        <v>165648</v>
      </c>
      <c r="K627" t="str">
        <f t="shared" si="9"/>
        <v>janeiro</v>
      </c>
      <c r="L627" s="4">
        <v>43491</v>
      </c>
      <c r="M627" s="2">
        <v>0.6694444444444444</v>
      </c>
      <c r="N627" s="1" t="s">
        <v>29</v>
      </c>
      <c r="O627" s="3">
        <v>15776</v>
      </c>
      <c r="P627">
        <v>4761904762</v>
      </c>
      <c r="Q627" s="3">
        <v>7888</v>
      </c>
      <c r="R627">
        <v>91</v>
      </c>
      <c r="S627" s="3">
        <f>G627*SuperMarket_Analysis[[#This Row],[Quantity]]</f>
        <v>15776</v>
      </c>
    </row>
    <row r="628" spans="1:19" x14ac:dyDescent="0.25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177</v>
      </c>
      <c r="F628" s="1" t="s">
        <v>35</v>
      </c>
      <c r="G628" s="3">
        <v>6087</v>
      </c>
      <c r="H628">
        <v>2</v>
      </c>
      <c r="I628" s="3">
        <v>6087</v>
      </c>
      <c r="J628">
        <v>127827</v>
      </c>
      <c r="K628" t="str">
        <f t="shared" si="9"/>
        <v>março</v>
      </c>
      <c r="L628" s="4">
        <v>43533</v>
      </c>
      <c r="M628" s="2">
        <v>0.52569444444444446</v>
      </c>
      <c r="N628" s="1" t="s">
        <v>23</v>
      </c>
      <c r="O628" s="3">
        <v>12174</v>
      </c>
      <c r="P628">
        <v>4761904762</v>
      </c>
      <c r="Q628" s="3">
        <v>6087</v>
      </c>
      <c r="R628">
        <v>87</v>
      </c>
      <c r="S628" s="3">
        <f>G628*SuperMarket_Analysis[[#This Row],[Quantity]]</f>
        <v>12174</v>
      </c>
    </row>
    <row r="629" spans="1:19" x14ac:dyDescent="0.25">
      <c r="A629" s="1" t="s">
        <v>663</v>
      </c>
      <c r="B629" s="1" t="s">
        <v>41</v>
      </c>
      <c r="C629" s="1" t="s">
        <v>42</v>
      </c>
      <c r="D629" s="1" t="s">
        <v>20</v>
      </c>
      <c r="E629" s="1" t="s">
        <v>177</v>
      </c>
      <c r="F629" s="1" t="s">
        <v>22</v>
      </c>
      <c r="G629" s="3">
        <v>8258</v>
      </c>
      <c r="H629">
        <v>10</v>
      </c>
      <c r="I629" s="3">
        <v>4129</v>
      </c>
      <c r="J629">
        <v>86709</v>
      </c>
      <c r="K629" t="str">
        <f t="shared" si="9"/>
        <v>março</v>
      </c>
      <c r="L629" s="4">
        <v>43538</v>
      </c>
      <c r="M629" s="2">
        <v>0.6118055555555556</v>
      </c>
      <c r="N629" s="1" t="s">
        <v>29</v>
      </c>
      <c r="O629" s="3">
        <v>8258</v>
      </c>
      <c r="P629">
        <v>4761904762</v>
      </c>
      <c r="Q629" s="3">
        <v>4129</v>
      </c>
      <c r="R629">
        <v>5</v>
      </c>
      <c r="S629" s="3">
        <f>G629*SuperMarket_Analysis[[#This Row],[Quantity]]</f>
        <v>82580</v>
      </c>
    </row>
    <row r="630" spans="1:19" x14ac:dyDescent="0.25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177</v>
      </c>
      <c r="F630" s="1" t="s">
        <v>31</v>
      </c>
      <c r="G630" s="3">
        <v>533</v>
      </c>
      <c r="H630">
        <v>3</v>
      </c>
      <c r="I630" s="3">
        <v>7995</v>
      </c>
      <c r="J630">
        <v>167895</v>
      </c>
      <c r="K630" t="str">
        <f t="shared" si="9"/>
        <v>janeiro</v>
      </c>
      <c r="L630" s="4">
        <v>43490</v>
      </c>
      <c r="M630" s="2">
        <v>0.59652777777777777</v>
      </c>
      <c r="N630" s="1" t="s">
        <v>23</v>
      </c>
      <c r="O630" s="3">
        <v>1599</v>
      </c>
      <c r="P630">
        <v>4761904762</v>
      </c>
      <c r="Q630" s="3">
        <v>7995</v>
      </c>
      <c r="R630">
        <v>75</v>
      </c>
      <c r="S630" s="3">
        <f>G630*SuperMarket_Analysis[[#This Row],[Quantity]]</f>
        <v>1599</v>
      </c>
    </row>
    <row r="631" spans="1:19" x14ac:dyDescent="0.25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45</v>
      </c>
      <c r="G631" s="3">
        <v>1209</v>
      </c>
      <c r="H631">
        <v>1</v>
      </c>
      <c r="I631" s="3">
        <v>6045</v>
      </c>
      <c r="J631">
        <v>126945</v>
      </c>
      <c r="K631" t="str">
        <f t="shared" si="9"/>
        <v>janeiro</v>
      </c>
      <c r="L631" s="4">
        <v>43491</v>
      </c>
      <c r="M631" s="2">
        <v>0.7631944444444444</v>
      </c>
      <c r="N631" s="1" t="s">
        <v>32</v>
      </c>
      <c r="O631" s="3">
        <v>1209</v>
      </c>
      <c r="P631">
        <v>4761904762</v>
      </c>
      <c r="Q631" s="3">
        <v>6045</v>
      </c>
      <c r="R631">
        <v>82</v>
      </c>
      <c r="S631" s="3">
        <f>G631*SuperMarket_Analysis[[#This Row],[Quantity]]</f>
        <v>1209</v>
      </c>
    </row>
    <row r="632" spans="1:19" x14ac:dyDescent="0.25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177</v>
      </c>
      <c r="F632" s="1" t="s">
        <v>35</v>
      </c>
      <c r="G632" s="3">
        <v>6419</v>
      </c>
      <c r="H632">
        <v>10</v>
      </c>
      <c r="I632" s="3">
        <v>32095</v>
      </c>
      <c r="J632">
        <v>673995</v>
      </c>
      <c r="K632" t="str">
        <f t="shared" si="9"/>
        <v>janeiro</v>
      </c>
      <c r="L632" s="4">
        <v>43484</v>
      </c>
      <c r="M632" s="2">
        <v>0.58888888888888891</v>
      </c>
      <c r="N632" s="1" t="s">
        <v>32</v>
      </c>
      <c r="O632" s="3">
        <v>6419</v>
      </c>
      <c r="P632">
        <v>4761904762</v>
      </c>
      <c r="Q632" s="3">
        <v>32095</v>
      </c>
      <c r="R632">
        <v>67</v>
      </c>
      <c r="S632" s="3">
        <f>G632*SuperMarket_Analysis[[#This Row],[Quantity]]</f>
        <v>64190</v>
      </c>
    </row>
    <row r="633" spans="1:19" x14ac:dyDescent="0.25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177</v>
      </c>
      <c r="F633" s="1" t="s">
        <v>28</v>
      </c>
      <c r="G633" s="3">
        <v>7831</v>
      </c>
      <c r="H633">
        <v>3</v>
      </c>
      <c r="I633" s="3">
        <v>117465</v>
      </c>
      <c r="J633">
        <v>2466765</v>
      </c>
      <c r="K633" t="str">
        <f t="shared" si="9"/>
        <v>março</v>
      </c>
      <c r="L633" s="4">
        <v>43529</v>
      </c>
      <c r="M633" s="2">
        <v>0.69305555555555554</v>
      </c>
      <c r="N633" s="1" t="s">
        <v>23</v>
      </c>
      <c r="O633" s="3">
        <v>23493</v>
      </c>
      <c r="P633">
        <v>4761904762</v>
      </c>
      <c r="Q633" s="3">
        <v>117465</v>
      </c>
      <c r="R633">
        <v>54</v>
      </c>
      <c r="S633" s="3">
        <f>G633*SuperMarket_Analysis[[#This Row],[Quantity]]</f>
        <v>23493</v>
      </c>
    </row>
    <row r="634" spans="1:19" x14ac:dyDescent="0.25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177</v>
      </c>
      <c r="F634" s="1" t="s">
        <v>43</v>
      </c>
      <c r="G634" s="3">
        <v>8377</v>
      </c>
      <c r="H634">
        <v>2</v>
      </c>
      <c r="I634" s="3">
        <v>8377</v>
      </c>
      <c r="J634">
        <v>175917</v>
      </c>
      <c r="K634" t="str">
        <f t="shared" si="9"/>
        <v>janeiro</v>
      </c>
      <c r="L634" s="4">
        <v>43480</v>
      </c>
      <c r="M634" s="2">
        <v>0.45416666666666666</v>
      </c>
      <c r="N634" s="1" t="s">
        <v>32</v>
      </c>
      <c r="O634" s="3">
        <v>16754</v>
      </c>
      <c r="P634">
        <v>4761904762</v>
      </c>
      <c r="Q634" s="3">
        <v>8377</v>
      </c>
      <c r="R634">
        <v>7</v>
      </c>
      <c r="S634" s="3">
        <f>G634*SuperMarket_Analysis[[#This Row],[Quantity]]</f>
        <v>16754</v>
      </c>
    </row>
    <row r="635" spans="1:19" x14ac:dyDescent="0.25">
      <c r="A635" s="1" t="s">
        <v>669</v>
      </c>
      <c r="B635" s="1" t="s">
        <v>41</v>
      </c>
      <c r="C635" s="1" t="s">
        <v>42</v>
      </c>
      <c r="D635" s="1" t="s">
        <v>27</v>
      </c>
      <c r="E635" s="1" t="s">
        <v>177</v>
      </c>
      <c r="F635" s="1" t="s">
        <v>31</v>
      </c>
      <c r="G635" s="3">
        <v>997</v>
      </c>
      <c r="H635">
        <v>3</v>
      </c>
      <c r="I635" s="3">
        <v>14955</v>
      </c>
      <c r="J635">
        <v>314055</v>
      </c>
      <c r="K635" t="str">
        <f t="shared" si="9"/>
        <v>março</v>
      </c>
      <c r="L635" s="4">
        <v>43542</v>
      </c>
      <c r="M635" s="2">
        <v>0.47847222222222224</v>
      </c>
      <c r="N635" s="1" t="s">
        <v>23</v>
      </c>
      <c r="O635" s="3">
        <v>2991</v>
      </c>
      <c r="P635">
        <v>4761904762</v>
      </c>
      <c r="Q635" s="3">
        <v>14955</v>
      </c>
      <c r="R635">
        <v>47</v>
      </c>
      <c r="S635" s="3">
        <f>G635*SuperMarket_Analysis[[#This Row],[Quantity]]</f>
        <v>2991</v>
      </c>
    </row>
    <row r="636" spans="1:19" x14ac:dyDescent="0.25">
      <c r="A636" s="1" t="s">
        <v>670</v>
      </c>
      <c r="B636" s="1" t="s">
        <v>41</v>
      </c>
      <c r="C636" s="1" t="s">
        <v>42</v>
      </c>
      <c r="D636" s="1" t="s">
        <v>20</v>
      </c>
      <c r="E636" s="1" t="s">
        <v>177</v>
      </c>
      <c r="F636" s="1" t="s">
        <v>43</v>
      </c>
      <c r="G636" s="3">
        <v>7991</v>
      </c>
      <c r="H636">
        <v>3</v>
      </c>
      <c r="I636" s="3">
        <v>119865</v>
      </c>
      <c r="J636">
        <v>2517165</v>
      </c>
      <c r="K636" t="str">
        <f t="shared" si="9"/>
        <v>março</v>
      </c>
      <c r="L636" s="4">
        <v>43544</v>
      </c>
      <c r="M636" s="2">
        <v>0.81111111111111112</v>
      </c>
      <c r="N636" s="1" t="s">
        <v>32</v>
      </c>
      <c r="O636" s="3">
        <v>23973</v>
      </c>
      <c r="P636">
        <v>4761904762</v>
      </c>
      <c r="Q636" s="3">
        <v>119865</v>
      </c>
      <c r="R636">
        <v>5</v>
      </c>
      <c r="S636" s="3">
        <f>G636*SuperMarket_Analysis[[#This Row],[Quantity]]</f>
        <v>23973</v>
      </c>
    </row>
    <row r="637" spans="1:19" x14ac:dyDescent="0.25">
      <c r="A637" s="1" t="s">
        <v>671</v>
      </c>
      <c r="B637" s="1" t="s">
        <v>41</v>
      </c>
      <c r="C637" s="1" t="s">
        <v>42</v>
      </c>
      <c r="D637" s="1" t="s">
        <v>20</v>
      </c>
      <c r="E637" s="1" t="s">
        <v>177</v>
      </c>
      <c r="F637" s="1" t="s">
        <v>22</v>
      </c>
      <c r="G637" s="3">
        <v>6647</v>
      </c>
      <c r="H637">
        <v>10</v>
      </c>
      <c r="I637" s="3">
        <v>33235</v>
      </c>
      <c r="J637">
        <v>697935</v>
      </c>
      <c r="K637" t="str">
        <f t="shared" si="9"/>
        <v>janeiro</v>
      </c>
      <c r="L637" s="4">
        <v>43480</v>
      </c>
      <c r="M637" s="2">
        <v>0.62569444444444444</v>
      </c>
      <c r="N637" s="1" t="s">
        <v>32</v>
      </c>
      <c r="O637" s="3">
        <v>6647</v>
      </c>
      <c r="P637">
        <v>4761904762</v>
      </c>
      <c r="Q637" s="3">
        <v>33235</v>
      </c>
      <c r="R637">
        <v>5</v>
      </c>
      <c r="S637" s="3">
        <f>G637*SuperMarket_Analysis[[#This Row],[Quantity]]</f>
        <v>66470</v>
      </c>
    </row>
    <row r="638" spans="1:19" x14ac:dyDescent="0.25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177</v>
      </c>
      <c r="F638" s="1" t="s">
        <v>22</v>
      </c>
      <c r="G638" s="3">
        <v>2895</v>
      </c>
      <c r="H638">
        <v>7</v>
      </c>
      <c r="I638" s="3">
        <v>101325</v>
      </c>
      <c r="J638">
        <v>2127825</v>
      </c>
      <c r="K638" t="str">
        <f t="shared" si="9"/>
        <v>março</v>
      </c>
      <c r="L638" s="4">
        <v>43527</v>
      </c>
      <c r="M638" s="2">
        <v>0.85486111111111107</v>
      </c>
      <c r="N638" s="1" t="s">
        <v>32</v>
      </c>
      <c r="O638" s="3">
        <v>20265</v>
      </c>
      <c r="P638">
        <v>4761904762</v>
      </c>
      <c r="Q638" s="3">
        <v>101325</v>
      </c>
      <c r="R638">
        <v>6</v>
      </c>
      <c r="S638" s="3">
        <f>G638*SuperMarket_Analysis[[#This Row],[Quantity]]</f>
        <v>20265</v>
      </c>
    </row>
    <row r="639" spans="1:19" x14ac:dyDescent="0.25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3">
        <v>462</v>
      </c>
      <c r="H639">
        <v>1</v>
      </c>
      <c r="I639" s="3">
        <v>231</v>
      </c>
      <c r="J639">
        <v>4851</v>
      </c>
      <c r="K639" t="str">
        <f t="shared" si="9"/>
        <v>março</v>
      </c>
      <c r="L639" s="4">
        <v>43543</v>
      </c>
      <c r="M639" s="2">
        <v>0.51111111111111107</v>
      </c>
      <c r="N639" s="1" t="s">
        <v>29</v>
      </c>
      <c r="O639" s="3">
        <v>462</v>
      </c>
      <c r="P639">
        <v>4761904762</v>
      </c>
      <c r="Q639" s="3">
        <v>231</v>
      </c>
      <c r="R639">
        <v>63</v>
      </c>
      <c r="S639" s="3">
        <f>G639*SuperMarket_Analysis[[#This Row],[Quantity]]</f>
        <v>462</v>
      </c>
    </row>
    <row r="640" spans="1:19" x14ac:dyDescent="0.25">
      <c r="A640" s="1" t="s">
        <v>674</v>
      </c>
      <c r="B640" s="1" t="s">
        <v>41</v>
      </c>
      <c r="C640" s="1" t="s">
        <v>42</v>
      </c>
      <c r="D640" s="1" t="s">
        <v>20</v>
      </c>
      <c r="E640" s="1" t="s">
        <v>21</v>
      </c>
      <c r="F640" s="1" t="s">
        <v>43</v>
      </c>
      <c r="G640" s="3">
        <v>1763</v>
      </c>
      <c r="H640">
        <v>5</v>
      </c>
      <c r="I640" s="3">
        <v>44075</v>
      </c>
      <c r="J640">
        <v>925575</v>
      </c>
      <c r="K640" t="str">
        <f t="shared" si="9"/>
        <v>março</v>
      </c>
      <c r="L640" s="4">
        <v>43532</v>
      </c>
      <c r="M640" s="2">
        <v>0.64375000000000004</v>
      </c>
      <c r="N640" s="1" t="s">
        <v>29</v>
      </c>
      <c r="O640" s="3">
        <v>8815</v>
      </c>
      <c r="P640">
        <v>4761904762</v>
      </c>
      <c r="Q640" s="3">
        <v>44075</v>
      </c>
      <c r="R640">
        <v>85</v>
      </c>
      <c r="S640" s="3">
        <f>G640*SuperMarket_Analysis[[#This Row],[Quantity]]</f>
        <v>8815</v>
      </c>
    </row>
    <row r="641" spans="1:19" x14ac:dyDescent="0.25">
      <c r="A641" s="1" t="s">
        <v>675</v>
      </c>
      <c r="B641" s="1" t="s">
        <v>41</v>
      </c>
      <c r="C641" s="1" t="s">
        <v>42</v>
      </c>
      <c r="D641" s="1" t="s">
        <v>27</v>
      </c>
      <c r="E641" s="1" t="s">
        <v>177</v>
      </c>
      <c r="F641" s="1" t="s">
        <v>45</v>
      </c>
      <c r="G641" s="3">
        <v>5242</v>
      </c>
      <c r="H641">
        <v>3</v>
      </c>
      <c r="I641" s="3">
        <v>7863</v>
      </c>
      <c r="J641">
        <v>165123</v>
      </c>
      <c r="K641" t="str">
        <f t="shared" si="9"/>
        <v>fevereiro</v>
      </c>
      <c r="L641" s="4">
        <v>43523</v>
      </c>
      <c r="M641" s="2">
        <v>0.73333333333333328</v>
      </c>
      <c r="N641" s="1" t="s">
        <v>23</v>
      </c>
      <c r="O641" s="3">
        <v>15726</v>
      </c>
      <c r="P641">
        <v>4761904762</v>
      </c>
      <c r="Q641" s="3">
        <v>7863</v>
      </c>
      <c r="R641">
        <v>75</v>
      </c>
      <c r="S641" s="3">
        <f>G641*SuperMarket_Analysis[[#This Row],[Quantity]]</f>
        <v>15726</v>
      </c>
    </row>
    <row r="642" spans="1:19" x14ac:dyDescent="0.25">
      <c r="A642" s="1" t="s">
        <v>676</v>
      </c>
      <c r="B642" s="1" t="s">
        <v>41</v>
      </c>
      <c r="C642" s="1" t="s">
        <v>42</v>
      </c>
      <c r="D642" s="1" t="s">
        <v>20</v>
      </c>
      <c r="E642" s="1" t="s">
        <v>21</v>
      </c>
      <c r="F642" s="1" t="s">
        <v>43</v>
      </c>
      <c r="G642" s="3">
        <v>9879</v>
      </c>
      <c r="H642">
        <v>3</v>
      </c>
      <c r="I642" s="3">
        <v>148185</v>
      </c>
      <c r="J642">
        <v>3111885</v>
      </c>
      <c r="K642" t="str">
        <f t="shared" ref="K642:K705" si="10">TEXT(L642, "mmmm")</f>
        <v>fevereiro</v>
      </c>
      <c r="L642" s="4">
        <v>43519</v>
      </c>
      <c r="M642" s="2">
        <v>0.83333333333333337</v>
      </c>
      <c r="N642" s="1" t="s">
        <v>23</v>
      </c>
      <c r="O642" s="3">
        <v>29637</v>
      </c>
      <c r="P642">
        <v>4761904762</v>
      </c>
      <c r="Q642" s="3">
        <v>148185</v>
      </c>
      <c r="R642">
        <v>64</v>
      </c>
      <c r="S642" s="3">
        <f>G642*SuperMarket_Analysis[[#This Row],[Quantity]]</f>
        <v>29637</v>
      </c>
    </row>
    <row r="643" spans="1:19" x14ac:dyDescent="0.25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3">
        <v>8855</v>
      </c>
      <c r="H643">
        <v>8</v>
      </c>
      <c r="I643" s="3">
        <v>3542</v>
      </c>
      <c r="J643">
        <v>74382</v>
      </c>
      <c r="K643" t="str">
        <f t="shared" si="10"/>
        <v>março</v>
      </c>
      <c r="L643" s="4">
        <v>43543</v>
      </c>
      <c r="M643" s="2">
        <v>0.64513888888888893</v>
      </c>
      <c r="N643" s="1" t="s">
        <v>23</v>
      </c>
      <c r="O643" s="3">
        <v>7084</v>
      </c>
      <c r="P643">
        <v>4761904762</v>
      </c>
      <c r="Q643" s="3">
        <v>3542</v>
      </c>
      <c r="R643">
        <v>47</v>
      </c>
      <c r="S643" s="3">
        <f>G643*SuperMarket_Analysis[[#This Row],[Quantity]]</f>
        <v>70840</v>
      </c>
    </row>
    <row r="644" spans="1:19" x14ac:dyDescent="0.25">
      <c r="A644" s="1" t="s">
        <v>678</v>
      </c>
      <c r="B644" s="1" t="s">
        <v>41</v>
      </c>
      <c r="C644" s="1" t="s">
        <v>42</v>
      </c>
      <c r="D644" s="1" t="s">
        <v>20</v>
      </c>
      <c r="E644" s="1" t="s">
        <v>177</v>
      </c>
      <c r="F644" s="1" t="s">
        <v>28</v>
      </c>
      <c r="G644" s="3">
        <v>5567</v>
      </c>
      <c r="H644">
        <v>2</v>
      </c>
      <c r="I644" s="3">
        <v>5567</v>
      </c>
      <c r="J644">
        <v>116907</v>
      </c>
      <c r="K644" t="str">
        <f t="shared" si="10"/>
        <v>março</v>
      </c>
      <c r="L644" s="4">
        <v>43551</v>
      </c>
      <c r="M644" s="2">
        <v>0.63055555555555554</v>
      </c>
      <c r="N644" s="1" t="s">
        <v>23</v>
      </c>
      <c r="O644" s="3">
        <v>11134</v>
      </c>
      <c r="P644">
        <v>4761904762</v>
      </c>
      <c r="Q644" s="3">
        <v>5567</v>
      </c>
      <c r="R644">
        <v>6</v>
      </c>
      <c r="S644" s="3">
        <f>G644*SuperMarket_Analysis[[#This Row],[Quantity]]</f>
        <v>11134</v>
      </c>
    </row>
    <row r="645" spans="1:19" x14ac:dyDescent="0.25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43</v>
      </c>
      <c r="G645" s="3">
        <v>7252</v>
      </c>
      <c r="H645">
        <v>8</v>
      </c>
      <c r="I645" s="3">
        <v>29008</v>
      </c>
      <c r="J645">
        <v>609168</v>
      </c>
      <c r="K645" t="str">
        <f t="shared" si="10"/>
        <v>março</v>
      </c>
      <c r="L645" s="4">
        <v>43554</v>
      </c>
      <c r="M645" s="2">
        <v>0.80972222222222223</v>
      </c>
      <c r="N645" s="1" t="s">
        <v>32</v>
      </c>
      <c r="O645" s="3">
        <v>58016</v>
      </c>
      <c r="P645">
        <v>4761904762</v>
      </c>
      <c r="Q645" s="3">
        <v>29008</v>
      </c>
      <c r="R645">
        <v>4</v>
      </c>
      <c r="S645" s="3">
        <f>G645*SuperMarket_Analysis[[#This Row],[Quantity]]</f>
        <v>58016</v>
      </c>
    </row>
    <row r="646" spans="1:19" x14ac:dyDescent="0.25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177</v>
      </c>
      <c r="F646" s="1" t="s">
        <v>28</v>
      </c>
      <c r="G646" s="3">
        <v>1205</v>
      </c>
      <c r="H646">
        <v>5</v>
      </c>
      <c r="I646" s="3">
        <v>30125</v>
      </c>
      <c r="J646">
        <v>632625</v>
      </c>
      <c r="K646" t="str">
        <f t="shared" si="10"/>
        <v>fevereiro</v>
      </c>
      <c r="L646" s="4">
        <v>43512</v>
      </c>
      <c r="M646" s="2">
        <v>0.66180555555555554</v>
      </c>
      <c r="N646" s="1" t="s">
        <v>23</v>
      </c>
      <c r="O646" s="3">
        <v>6025</v>
      </c>
      <c r="P646">
        <v>4761904762</v>
      </c>
      <c r="Q646" s="3">
        <v>30125</v>
      </c>
      <c r="R646">
        <v>55</v>
      </c>
      <c r="S646" s="3">
        <f>G646*SuperMarket_Analysis[[#This Row],[Quantity]]</f>
        <v>6025</v>
      </c>
    </row>
    <row r="647" spans="1:19" x14ac:dyDescent="0.25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177</v>
      </c>
      <c r="F647" s="1" t="s">
        <v>31</v>
      </c>
      <c r="G647" s="3">
        <v>1936</v>
      </c>
      <c r="H647">
        <v>9</v>
      </c>
      <c r="I647" s="3">
        <v>8712</v>
      </c>
      <c r="J647">
        <v>182952</v>
      </c>
      <c r="K647" t="str">
        <f t="shared" si="10"/>
        <v>janeiro</v>
      </c>
      <c r="L647" s="4">
        <v>43483</v>
      </c>
      <c r="M647" s="2">
        <v>0.77986111111111112</v>
      </c>
      <c r="N647" s="1" t="s">
        <v>23</v>
      </c>
      <c r="O647" s="3">
        <v>17424</v>
      </c>
      <c r="P647">
        <v>4761904762</v>
      </c>
      <c r="Q647" s="3">
        <v>8712</v>
      </c>
      <c r="R647">
        <v>87</v>
      </c>
      <c r="S647" s="3">
        <f>G647*SuperMarket_Analysis[[#This Row],[Quantity]]</f>
        <v>17424</v>
      </c>
    </row>
    <row r="648" spans="1:19" x14ac:dyDescent="0.25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177</v>
      </c>
      <c r="F648" s="1" t="s">
        <v>22</v>
      </c>
      <c r="G648" s="3">
        <v>7021</v>
      </c>
      <c r="H648">
        <v>6</v>
      </c>
      <c r="I648" s="3">
        <v>21063</v>
      </c>
      <c r="J648">
        <v>442323</v>
      </c>
      <c r="K648" t="str">
        <f t="shared" si="10"/>
        <v>março</v>
      </c>
      <c r="L648" s="4">
        <v>43554</v>
      </c>
      <c r="M648" s="2">
        <v>0.62361111111111112</v>
      </c>
      <c r="N648" s="1" t="s">
        <v>29</v>
      </c>
      <c r="O648" s="3">
        <v>42126</v>
      </c>
      <c r="P648">
        <v>4761904762</v>
      </c>
      <c r="Q648" s="3">
        <v>21063</v>
      </c>
      <c r="R648">
        <v>74</v>
      </c>
      <c r="S648" s="3">
        <f>G648*SuperMarket_Analysis[[#This Row],[Quantity]]</f>
        <v>42126</v>
      </c>
    </row>
    <row r="649" spans="1:19" x14ac:dyDescent="0.25">
      <c r="A649" s="1" t="s">
        <v>683</v>
      </c>
      <c r="B649" s="1" t="s">
        <v>41</v>
      </c>
      <c r="C649" s="1" t="s">
        <v>42</v>
      </c>
      <c r="D649" s="1" t="s">
        <v>20</v>
      </c>
      <c r="E649" s="1" t="s">
        <v>177</v>
      </c>
      <c r="F649" s="1" t="s">
        <v>45</v>
      </c>
      <c r="G649" s="3">
        <v>3363</v>
      </c>
      <c r="H649">
        <v>1</v>
      </c>
      <c r="I649" s="3">
        <v>16815</v>
      </c>
      <c r="J649">
        <v>353115</v>
      </c>
      <c r="K649" t="str">
        <f t="shared" si="10"/>
        <v>março</v>
      </c>
      <c r="L649" s="4">
        <v>43544</v>
      </c>
      <c r="M649" s="2">
        <v>0.82986111111111116</v>
      </c>
      <c r="N649" s="1" t="s">
        <v>29</v>
      </c>
      <c r="O649" s="3">
        <v>3363</v>
      </c>
      <c r="P649">
        <v>4761904762</v>
      </c>
      <c r="Q649" s="3">
        <v>16815</v>
      </c>
      <c r="R649">
        <v>56</v>
      </c>
      <c r="S649" s="3">
        <f>G649*SuperMarket_Analysis[[#This Row],[Quantity]]</f>
        <v>3363</v>
      </c>
    </row>
    <row r="650" spans="1:19" x14ac:dyDescent="0.25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35</v>
      </c>
      <c r="G650" s="3">
        <v>1549</v>
      </c>
      <c r="H650">
        <v>2</v>
      </c>
      <c r="I650" s="3">
        <v>1549</v>
      </c>
      <c r="J650">
        <v>32529</v>
      </c>
      <c r="K650" t="str">
        <f t="shared" si="10"/>
        <v>janeiro</v>
      </c>
      <c r="L650" s="4">
        <v>43481</v>
      </c>
      <c r="M650" s="2">
        <v>0.63194444444444442</v>
      </c>
      <c r="N650" s="1" t="s">
        <v>29</v>
      </c>
      <c r="O650" s="3">
        <v>3098</v>
      </c>
      <c r="P650">
        <v>4761904762</v>
      </c>
      <c r="Q650" s="3">
        <v>1549</v>
      </c>
      <c r="R650">
        <v>63</v>
      </c>
      <c r="S650" s="3">
        <f>G650*SuperMarket_Analysis[[#This Row],[Quantity]]</f>
        <v>3098</v>
      </c>
    </row>
    <row r="651" spans="1:19" x14ac:dyDescent="0.25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177</v>
      </c>
      <c r="F651" s="1" t="s">
        <v>28</v>
      </c>
      <c r="G651" s="3">
        <v>2474</v>
      </c>
      <c r="H651">
        <v>10</v>
      </c>
      <c r="I651" s="3">
        <v>1237</v>
      </c>
      <c r="J651">
        <v>25977</v>
      </c>
      <c r="K651" t="str">
        <f t="shared" si="10"/>
        <v>fevereiro</v>
      </c>
      <c r="L651" s="4">
        <v>43520</v>
      </c>
      <c r="M651" s="2">
        <v>0.69722222222222219</v>
      </c>
      <c r="N651" s="1" t="s">
        <v>29</v>
      </c>
      <c r="O651" s="3">
        <v>2474</v>
      </c>
      <c r="P651">
        <v>4761904762</v>
      </c>
      <c r="Q651" s="3">
        <v>1237</v>
      </c>
      <c r="R651">
        <v>71</v>
      </c>
      <c r="S651" s="3">
        <f>G651*SuperMarket_Analysis[[#This Row],[Quantity]]</f>
        <v>24740</v>
      </c>
    </row>
    <row r="652" spans="1:19" x14ac:dyDescent="0.25">
      <c r="A652" s="1" t="s">
        <v>686</v>
      </c>
      <c r="B652" s="1" t="s">
        <v>41</v>
      </c>
      <c r="C652" s="1" t="s">
        <v>42</v>
      </c>
      <c r="D652" s="1" t="s">
        <v>27</v>
      </c>
      <c r="E652" s="1" t="s">
        <v>177</v>
      </c>
      <c r="F652" s="1" t="s">
        <v>28</v>
      </c>
      <c r="G652" s="3">
        <v>7566</v>
      </c>
      <c r="H652">
        <v>5</v>
      </c>
      <c r="I652" s="3">
        <v>18915</v>
      </c>
      <c r="J652">
        <v>397215</v>
      </c>
      <c r="K652" t="str">
        <f t="shared" si="10"/>
        <v>janeiro</v>
      </c>
      <c r="L652" s="4">
        <v>43480</v>
      </c>
      <c r="M652" s="2">
        <v>0.76527777777777772</v>
      </c>
      <c r="N652" s="1" t="s">
        <v>23</v>
      </c>
      <c r="O652" s="3">
        <v>3783</v>
      </c>
      <c r="P652">
        <v>4761904762</v>
      </c>
      <c r="Q652" s="3">
        <v>18915</v>
      </c>
      <c r="R652">
        <v>78</v>
      </c>
      <c r="S652" s="3">
        <f>G652*SuperMarket_Analysis[[#This Row],[Quantity]]</f>
        <v>37830</v>
      </c>
    </row>
    <row r="653" spans="1:19" x14ac:dyDescent="0.25">
      <c r="A653" s="1" t="s">
        <v>687</v>
      </c>
      <c r="B653" s="1" t="s">
        <v>41</v>
      </c>
      <c r="C653" s="1" t="s">
        <v>42</v>
      </c>
      <c r="D653" s="1" t="s">
        <v>27</v>
      </c>
      <c r="E653" s="1" t="s">
        <v>21</v>
      </c>
      <c r="F653" s="1" t="s">
        <v>22</v>
      </c>
      <c r="G653" s="3">
        <v>5581</v>
      </c>
      <c r="H653">
        <v>6</v>
      </c>
      <c r="I653" s="3">
        <v>16743</v>
      </c>
      <c r="J653">
        <v>351603</v>
      </c>
      <c r="K653" t="str">
        <f t="shared" si="10"/>
        <v>janeiro</v>
      </c>
      <c r="L653" s="4">
        <v>43487</v>
      </c>
      <c r="M653" s="2">
        <v>0.49444444444444446</v>
      </c>
      <c r="N653" s="1" t="s">
        <v>29</v>
      </c>
      <c r="O653" s="3">
        <v>33486</v>
      </c>
      <c r="P653">
        <v>4761904762</v>
      </c>
      <c r="Q653" s="3">
        <v>16743</v>
      </c>
      <c r="R653">
        <v>99</v>
      </c>
      <c r="S653" s="3">
        <f>G653*SuperMarket_Analysis[[#This Row],[Quantity]]</f>
        <v>33486</v>
      </c>
    </row>
    <row r="654" spans="1:19" x14ac:dyDescent="0.25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177</v>
      </c>
      <c r="F654" s="1" t="s">
        <v>31</v>
      </c>
      <c r="G654" s="3">
        <v>7278</v>
      </c>
      <c r="H654">
        <v>10</v>
      </c>
      <c r="I654" s="3">
        <v>3639</v>
      </c>
      <c r="J654">
        <v>76419</v>
      </c>
      <c r="K654" t="str">
        <f t="shared" si="10"/>
        <v>fevereiro</v>
      </c>
      <c r="L654" s="4">
        <v>43499</v>
      </c>
      <c r="M654" s="2">
        <v>0.72499999999999998</v>
      </c>
      <c r="N654" s="1" t="s">
        <v>29</v>
      </c>
      <c r="O654" s="3">
        <v>7278</v>
      </c>
      <c r="P654">
        <v>4761904762</v>
      </c>
      <c r="Q654" s="3">
        <v>3639</v>
      </c>
      <c r="R654">
        <v>73</v>
      </c>
      <c r="S654" s="3">
        <f>G654*SuperMarket_Analysis[[#This Row],[Quantity]]</f>
        <v>72780</v>
      </c>
    </row>
    <row r="655" spans="1:19" x14ac:dyDescent="0.25">
      <c r="A655" s="1" t="s">
        <v>689</v>
      </c>
      <c r="B655" s="1" t="s">
        <v>41</v>
      </c>
      <c r="C655" s="1" t="s">
        <v>42</v>
      </c>
      <c r="D655" s="1" t="s">
        <v>20</v>
      </c>
      <c r="E655" s="1" t="s">
        <v>177</v>
      </c>
      <c r="F655" s="1" t="s">
        <v>35</v>
      </c>
      <c r="G655" s="3">
        <v>3732</v>
      </c>
      <c r="H655">
        <v>9</v>
      </c>
      <c r="I655" s="3">
        <v>16794</v>
      </c>
      <c r="J655">
        <v>352674</v>
      </c>
      <c r="K655" t="str">
        <f t="shared" si="10"/>
        <v>março</v>
      </c>
      <c r="L655" s="4">
        <v>43530</v>
      </c>
      <c r="M655" s="2">
        <v>0.64652777777777781</v>
      </c>
      <c r="N655" s="1" t="s">
        <v>23</v>
      </c>
      <c r="O655" s="3">
        <v>33588</v>
      </c>
      <c r="P655">
        <v>4761904762</v>
      </c>
      <c r="Q655" s="3">
        <v>16794</v>
      </c>
      <c r="R655">
        <v>51</v>
      </c>
      <c r="S655" s="3">
        <f>G655*SuperMarket_Analysis[[#This Row],[Quantity]]</f>
        <v>33588</v>
      </c>
    </row>
    <row r="656" spans="1:19" x14ac:dyDescent="0.25">
      <c r="A656" s="1" t="s">
        <v>690</v>
      </c>
      <c r="B656" s="1" t="s">
        <v>41</v>
      </c>
      <c r="C656" s="1" t="s">
        <v>42</v>
      </c>
      <c r="D656" s="1" t="s">
        <v>20</v>
      </c>
      <c r="E656" s="1" t="s">
        <v>177</v>
      </c>
      <c r="F656" s="1" t="s">
        <v>45</v>
      </c>
      <c r="G656" s="3">
        <v>6018</v>
      </c>
      <c r="H656">
        <v>4</v>
      </c>
      <c r="I656" s="3">
        <v>12036</v>
      </c>
      <c r="J656">
        <v>252756</v>
      </c>
      <c r="K656" t="str">
        <f t="shared" si="10"/>
        <v>fevereiro</v>
      </c>
      <c r="L656" s="4">
        <v>43512</v>
      </c>
      <c r="M656" s="2">
        <v>0.75277777777777777</v>
      </c>
      <c r="N656" s="1" t="s">
        <v>32</v>
      </c>
      <c r="O656" s="3">
        <v>24072</v>
      </c>
      <c r="P656">
        <v>4761904762</v>
      </c>
      <c r="Q656" s="3">
        <v>12036</v>
      </c>
      <c r="R656">
        <v>94</v>
      </c>
      <c r="S656" s="3">
        <f>G656*SuperMarket_Analysis[[#This Row],[Quantity]]</f>
        <v>24072</v>
      </c>
    </row>
    <row r="657" spans="1:19" x14ac:dyDescent="0.25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3">
        <v>1569</v>
      </c>
      <c r="H657">
        <v>3</v>
      </c>
      <c r="I657" s="3">
        <v>23535</v>
      </c>
      <c r="J657">
        <v>494235</v>
      </c>
      <c r="K657" t="str">
        <f t="shared" si="10"/>
        <v>março</v>
      </c>
      <c r="L657" s="4">
        <v>43538</v>
      </c>
      <c r="M657" s="2">
        <v>0.59236111111111112</v>
      </c>
      <c r="N657" s="1" t="s">
        <v>32</v>
      </c>
      <c r="O657" s="3">
        <v>4707</v>
      </c>
      <c r="P657">
        <v>4761904762</v>
      </c>
      <c r="Q657" s="3">
        <v>23535</v>
      </c>
      <c r="R657">
        <v>58</v>
      </c>
      <c r="S657" s="3">
        <f>G657*SuperMarket_Analysis[[#This Row],[Quantity]]</f>
        <v>4707</v>
      </c>
    </row>
    <row r="658" spans="1:19" x14ac:dyDescent="0.25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3">
        <v>9969</v>
      </c>
      <c r="H658">
        <v>1</v>
      </c>
      <c r="I658" s="3">
        <v>49845</v>
      </c>
      <c r="J658">
        <v>1046745</v>
      </c>
      <c r="K658" t="str">
        <f t="shared" si="10"/>
        <v>fevereiro</v>
      </c>
      <c r="L658" s="4">
        <v>43523</v>
      </c>
      <c r="M658" s="2">
        <v>0.43263888888888891</v>
      </c>
      <c r="N658" s="1" t="s">
        <v>32</v>
      </c>
      <c r="O658" s="3">
        <v>9969</v>
      </c>
      <c r="P658">
        <v>4761904762</v>
      </c>
      <c r="Q658" s="3">
        <v>49845</v>
      </c>
      <c r="R658">
        <v>8</v>
      </c>
      <c r="S658" s="3">
        <f>G658*SuperMarket_Analysis[[#This Row],[Quantity]]</f>
        <v>9969</v>
      </c>
    </row>
    <row r="659" spans="1:19" x14ac:dyDescent="0.25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45</v>
      </c>
      <c r="G659" s="3">
        <v>8815</v>
      </c>
      <c r="H659">
        <v>3</v>
      </c>
      <c r="I659" s="3">
        <v>132225</v>
      </c>
      <c r="J659">
        <v>2776725</v>
      </c>
      <c r="K659" t="str">
        <f t="shared" si="10"/>
        <v>janeiro</v>
      </c>
      <c r="L659" s="4">
        <v>43483</v>
      </c>
      <c r="M659" s="2">
        <v>0.42430555555555555</v>
      </c>
      <c r="N659" s="1" t="s">
        <v>23</v>
      </c>
      <c r="O659" s="3">
        <v>26445</v>
      </c>
      <c r="P659">
        <v>4761904762</v>
      </c>
      <c r="Q659" s="3">
        <v>132225</v>
      </c>
      <c r="R659">
        <v>79</v>
      </c>
      <c r="S659" s="3">
        <f>G659*SuperMarket_Analysis[[#This Row],[Quantity]]</f>
        <v>26445</v>
      </c>
    </row>
    <row r="660" spans="1:19" x14ac:dyDescent="0.25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35</v>
      </c>
      <c r="G660" s="3">
        <v>2793</v>
      </c>
      <c r="H660">
        <v>5</v>
      </c>
      <c r="I660" s="3">
        <v>69825</v>
      </c>
      <c r="J660">
        <v>1466325</v>
      </c>
      <c r="K660" t="str">
        <f t="shared" si="10"/>
        <v>janeiro</v>
      </c>
      <c r="L660" s="4">
        <v>43494</v>
      </c>
      <c r="M660" s="2">
        <v>0.65833333333333333</v>
      </c>
      <c r="N660" s="1" t="s">
        <v>29</v>
      </c>
      <c r="O660" s="3">
        <v>13965</v>
      </c>
      <c r="P660">
        <v>4761904762</v>
      </c>
      <c r="Q660" s="3">
        <v>69825</v>
      </c>
      <c r="R660">
        <v>59</v>
      </c>
      <c r="S660" s="3">
        <f>G660*SuperMarket_Analysis[[#This Row],[Quantity]]</f>
        <v>13965</v>
      </c>
    </row>
    <row r="661" spans="1:19" x14ac:dyDescent="0.25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177</v>
      </c>
      <c r="F661" s="1" t="s">
        <v>45</v>
      </c>
      <c r="G661" s="3">
        <v>5545</v>
      </c>
      <c r="H661">
        <v>1</v>
      </c>
      <c r="I661" s="3">
        <v>27725</v>
      </c>
      <c r="J661">
        <v>582225</v>
      </c>
      <c r="K661" t="str">
        <f t="shared" si="10"/>
        <v>fevereiro</v>
      </c>
      <c r="L661" s="4">
        <v>43522</v>
      </c>
      <c r="M661" s="2">
        <v>0.74027777777777781</v>
      </c>
      <c r="N661" s="1" t="s">
        <v>32</v>
      </c>
      <c r="O661" s="3">
        <v>5545</v>
      </c>
      <c r="P661">
        <v>4761904762</v>
      </c>
      <c r="Q661" s="3">
        <v>27725</v>
      </c>
      <c r="R661">
        <v>49</v>
      </c>
      <c r="S661" s="3">
        <f>G661*SuperMarket_Analysis[[#This Row],[Quantity]]</f>
        <v>5545</v>
      </c>
    </row>
    <row r="662" spans="1:19" x14ac:dyDescent="0.25">
      <c r="A662" s="1" t="s">
        <v>696</v>
      </c>
      <c r="B662" s="1" t="s">
        <v>41</v>
      </c>
      <c r="C662" s="1" t="s">
        <v>42</v>
      </c>
      <c r="D662" s="1" t="s">
        <v>27</v>
      </c>
      <c r="E662" s="1" t="s">
        <v>21</v>
      </c>
      <c r="F662" s="1" t="s">
        <v>35</v>
      </c>
      <c r="G662" s="3">
        <v>4297</v>
      </c>
      <c r="H662">
        <v>3</v>
      </c>
      <c r="I662" s="3">
        <v>64455</v>
      </c>
      <c r="J662">
        <v>1353555</v>
      </c>
      <c r="K662" t="str">
        <f t="shared" si="10"/>
        <v>fevereiro</v>
      </c>
      <c r="L662" s="4">
        <v>43499</v>
      </c>
      <c r="M662" s="2">
        <v>0.49027777777777776</v>
      </c>
      <c r="N662" s="1" t="s">
        <v>29</v>
      </c>
      <c r="O662" s="3">
        <v>12891</v>
      </c>
      <c r="P662">
        <v>4761904762</v>
      </c>
      <c r="Q662" s="3">
        <v>64455</v>
      </c>
      <c r="R662">
        <v>93</v>
      </c>
      <c r="S662" s="3">
        <f>G662*SuperMarket_Analysis[[#This Row],[Quantity]]</f>
        <v>12891</v>
      </c>
    </row>
    <row r="663" spans="1:19" x14ac:dyDescent="0.25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177</v>
      </c>
      <c r="F663" s="1" t="s">
        <v>35</v>
      </c>
      <c r="G663" s="3">
        <v>1714</v>
      </c>
      <c r="H663">
        <v>7</v>
      </c>
      <c r="I663" s="3">
        <v>5999</v>
      </c>
      <c r="J663">
        <v>125979</v>
      </c>
      <c r="K663" t="str">
        <f t="shared" si="10"/>
        <v>janeiro</v>
      </c>
      <c r="L663" s="4">
        <v>43481</v>
      </c>
      <c r="M663" s="2">
        <v>0.50486111111111109</v>
      </c>
      <c r="N663" s="1" t="s">
        <v>32</v>
      </c>
      <c r="O663" s="3">
        <v>11998</v>
      </c>
      <c r="P663">
        <v>4761904762</v>
      </c>
      <c r="Q663" s="3">
        <v>5999</v>
      </c>
      <c r="R663">
        <v>79</v>
      </c>
      <c r="S663" s="3">
        <f>G663*SuperMarket_Analysis[[#This Row],[Quantity]]</f>
        <v>11998</v>
      </c>
    </row>
    <row r="664" spans="1:19" x14ac:dyDescent="0.25">
      <c r="A664" s="1" t="s">
        <v>698</v>
      </c>
      <c r="B664" s="1" t="s">
        <v>41</v>
      </c>
      <c r="C664" s="1" t="s">
        <v>42</v>
      </c>
      <c r="D664" s="1" t="s">
        <v>20</v>
      </c>
      <c r="E664" s="1" t="s">
        <v>21</v>
      </c>
      <c r="F664" s="1" t="s">
        <v>45</v>
      </c>
      <c r="G664" s="3">
        <v>5875</v>
      </c>
      <c r="H664">
        <v>6</v>
      </c>
      <c r="I664" s="3">
        <v>17625</v>
      </c>
      <c r="J664">
        <v>370125</v>
      </c>
      <c r="K664" t="str">
        <f t="shared" si="10"/>
        <v>março</v>
      </c>
      <c r="L664" s="4">
        <v>43548</v>
      </c>
      <c r="M664" s="2">
        <v>0.75972222222222219</v>
      </c>
      <c r="N664" s="1" t="s">
        <v>32</v>
      </c>
      <c r="O664" s="3">
        <v>3525</v>
      </c>
      <c r="P664">
        <v>4761904762</v>
      </c>
      <c r="Q664" s="3">
        <v>17625</v>
      </c>
      <c r="R664">
        <v>59</v>
      </c>
      <c r="S664" s="3">
        <f>G664*SuperMarket_Analysis[[#This Row],[Quantity]]</f>
        <v>35250</v>
      </c>
    </row>
    <row r="665" spans="1:19" x14ac:dyDescent="0.25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43</v>
      </c>
      <c r="G665" s="3">
        <v>871</v>
      </c>
      <c r="H665">
        <v>10</v>
      </c>
      <c r="I665" s="3">
        <v>4355</v>
      </c>
      <c r="J665">
        <v>91455</v>
      </c>
      <c r="K665" t="str">
        <f t="shared" si="10"/>
        <v>fevereiro</v>
      </c>
      <c r="L665" s="4">
        <v>43508</v>
      </c>
      <c r="M665" s="2">
        <v>0.61458333333333337</v>
      </c>
      <c r="N665" s="1" t="s">
        <v>32</v>
      </c>
      <c r="O665" s="3">
        <v>871</v>
      </c>
      <c r="P665">
        <v>4761904762</v>
      </c>
      <c r="Q665" s="3">
        <v>4355</v>
      </c>
      <c r="R665">
        <v>99</v>
      </c>
      <c r="S665" s="3">
        <f>G665*SuperMarket_Analysis[[#This Row],[Quantity]]</f>
        <v>8710</v>
      </c>
    </row>
    <row r="666" spans="1:19" x14ac:dyDescent="0.25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35</v>
      </c>
      <c r="G666" s="3">
        <v>988</v>
      </c>
      <c r="H666">
        <v>2</v>
      </c>
      <c r="I666" s="3">
        <v>988</v>
      </c>
      <c r="J666">
        <v>20748</v>
      </c>
      <c r="K666" t="str">
        <f t="shared" si="10"/>
        <v>fevereiro</v>
      </c>
      <c r="L666" s="4">
        <v>43517</v>
      </c>
      <c r="M666" s="2">
        <v>0.48541666666666666</v>
      </c>
      <c r="N666" s="1" t="s">
        <v>29</v>
      </c>
      <c r="O666" s="3">
        <v>1976</v>
      </c>
      <c r="P666">
        <v>4761904762</v>
      </c>
      <c r="Q666" s="3">
        <v>988</v>
      </c>
      <c r="R666">
        <v>77</v>
      </c>
      <c r="S666" s="3">
        <f>G666*SuperMarket_Analysis[[#This Row],[Quantity]]</f>
        <v>1976</v>
      </c>
    </row>
    <row r="667" spans="1:19" x14ac:dyDescent="0.25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45</v>
      </c>
      <c r="G667" s="3">
        <v>4863</v>
      </c>
      <c r="H667">
        <v>4</v>
      </c>
      <c r="I667" s="3">
        <v>9726</v>
      </c>
      <c r="J667">
        <v>204246</v>
      </c>
      <c r="K667" t="str">
        <f t="shared" si="10"/>
        <v>fevereiro</v>
      </c>
      <c r="L667" s="4">
        <v>43500</v>
      </c>
      <c r="M667" s="2">
        <v>0.65555555555555556</v>
      </c>
      <c r="N667" s="1" t="s">
        <v>23</v>
      </c>
      <c r="O667" s="3">
        <v>19452</v>
      </c>
      <c r="P667">
        <v>4761904762</v>
      </c>
      <c r="Q667" s="3">
        <v>9726</v>
      </c>
      <c r="R667">
        <v>76</v>
      </c>
      <c r="S667" s="3">
        <f>G667*SuperMarket_Analysis[[#This Row],[Quantity]]</f>
        <v>19452</v>
      </c>
    </row>
    <row r="668" spans="1:19" x14ac:dyDescent="0.25">
      <c r="A668" s="1" t="s">
        <v>702</v>
      </c>
      <c r="B668" s="1" t="s">
        <v>41</v>
      </c>
      <c r="C668" s="1" t="s">
        <v>42</v>
      </c>
      <c r="D668" s="1" t="s">
        <v>20</v>
      </c>
      <c r="E668" s="1" t="s">
        <v>177</v>
      </c>
      <c r="F668" s="1" t="s">
        <v>43</v>
      </c>
      <c r="G668" s="3">
        <v>5774</v>
      </c>
      <c r="H668">
        <v>3</v>
      </c>
      <c r="I668" s="3">
        <v>8661</v>
      </c>
      <c r="J668">
        <v>181881</v>
      </c>
      <c r="K668" t="str">
        <f t="shared" si="10"/>
        <v>fevereiro</v>
      </c>
      <c r="L668" s="4">
        <v>43516</v>
      </c>
      <c r="M668" s="2">
        <v>0.54583333333333328</v>
      </c>
      <c r="N668" s="1" t="s">
        <v>23</v>
      </c>
      <c r="O668" s="3">
        <v>17322</v>
      </c>
      <c r="P668">
        <v>4761904762</v>
      </c>
      <c r="Q668" s="3">
        <v>8661</v>
      </c>
      <c r="R668">
        <v>77</v>
      </c>
      <c r="S668" s="3">
        <f>G668*SuperMarket_Analysis[[#This Row],[Quantity]]</f>
        <v>17322</v>
      </c>
    </row>
    <row r="669" spans="1:19" x14ac:dyDescent="0.25">
      <c r="A669" s="1" t="s">
        <v>703</v>
      </c>
      <c r="B669" s="1" t="s">
        <v>41</v>
      </c>
      <c r="C669" s="1" t="s">
        <v>42</v>
      </c>
      <c r="D669" s="1" t="s">
        <v>27</v>
      </c>
      <c r="E669" s="1" t="s">
        <v>21</v>
      </c>
      <c r="F669" s="1" t="s">
        <v>22</v>
      </c>
      <c r="G669" s="3">
        <v>1797</v>
      </c>
      <c r="H669">
        <v>4</v>
      </c>
      <c r="I669" s="3">
        <v>3594</v>
      </c>
      <c r="J669">
        <v>75474</v>
      </c>
      <c r="K669" t="str">
        <f t="shared" si="10"/>
        <v>fevereiro</v>
      </c>
      <c r="L669" s="4">
        <v>43519</v>
      </c>
      <c r="M669" s="2">
        <v>0.86319444444444449</v>
      </c>
      <c r="N669" s="1" t="s">
        <v>23</v>
      </c>
      <c r="O669" s="3">
        <v>7188</v>
      </c>
      <c r="P669">
        <v>4761904762</v>
      </c>
      <c r="Q669" s="3">
        <v>3594</v>
      </c>
      <c r="R669">
        <v>64</v>
      </c>
      <c r="S669" s="3">
        <f>G669*SuperMarket_Analysis[[#This Row],[Quantity]]</f>
        <v>7188</v>
      </c>
    </row>
    <row r="670" spans="1:19" x14ac:dyDescent="0.25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3">
        <v>4771</v>
      </c>
      <c r="H670">
        <v>6</v>
      </c>
      <c r="I670" s="3">
        <v>14313</v>
      </c>
      <c r="J670">
        <v>300573</v>
      </c>
      <c r="K670" t="str">
        <f t="shared" si="10"/>
        <v>fevereiro</v>
      </c>
      <c r="L670" s="4">
        <v>43512</v>
      </c>
      <c r="M670" s="2">
        <v>0.59652777777777777</v>
      </c>
      <c r="N670" s="1" t="s">
        <v>23</v>
      </c>
      <c r="O670" s="3">
        <v>28626</v>
      </c>
      <c r="P670">
        <v>4761904762</v>
      </c>
      <c r="Q670" s="3">
        <v>14313</v>
      </c>
      <c r="R670">
        <v>44</v>
      </c>
      <c r="S670" s="3">
        <f>G670*SuperMarket_Analysis[[#This Row],[Quantity]]</f>
        <v>28626</v>
      </c>
    </row>
    <row r="671" spans="1:19" x14ac:dyDescent="0.25">
      <c r="A671" s="1" t="s">
        <v>705</v>
      </c>
      <c r="B671" s="1" t="s">
        <v>41</v>
      </c>
      <c r="C671" s="1" t="s">
        <v>42</v>
      </c>
      <c r="D671" s="1" t="s">
        <v>27</v>
      </c>
      <c r="E671" s="1" t="s">
        <v>21</v>
      </c>
      <c r="F671" s="1" t="s">
        <v>35</v>
      </c>
      <c r="G671" s="3">
        <v>4062</v>
      </c>
      <c r="H671">
        <v>2</v>
      </c>
      <c r="I671" s="3">
        <v>4062</v>
      </c>
      <c r="J671">
        <v>85302</v>
      </c>
      <c r="K671" t="str">
        <f t="shared" si="10"/>
        <v>janeiro</v>
      </c>
      <c r="L671" s="4">
        <v>43482</v>
      </c>
      <c r="M671" s="2">
        <v>0.41736111111111113</v>
      </c>
      <c r="N671" s="1" t="s">
        <v>32</v>
      </c>
      <c r="O671" s="3">
        <v>8124</v>
      </c>
      <c r="P671">
        <v>4761904762</v>
      </c>
      <c r="Q671" s="3">
        <v>4062</v>
      </c>
      <c r="R671">
        <v>41</v>
      </c>
      <c r="S671" s="3">
        <f>G671*SuperMarket_Analysis[[#This Row],[Quantity]]</f>
        <v>8124</v>
      </c>
    </row>
    <row r="672" spans="1:19" x14ac:dyDescent="0.25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177</v>
      </c>
      <c r="F672" s="1" t="s">
        <v>45</v>
      </c>
      <c r="G672" s="3">
        <v>5604</v>
      </c>
      <c r="H672">
        <v>10</v>
      </c>
      <c r="I672" s="3">
        <v>2802</v>
      </c>
      <c r="J672">
        <v>58842</v>
      </c>
      <c r="K672" t="str">
        <f t="shared" si="10"/>
        <v>janeiro</v>
      </c>
      <c r="L672" s="4">
        <v>43479</v>
      </c>
      <c r="M672" s="2">
        <v>0.8125</v>
      </c>
      <c r="N672" s="1" t="s">
        <v>23</v>
      </c>
      <c r="O672" s="3">
        <v>5604</v>
      </c>
      <c r="P672">
        <v>4761904762</v>
      </c>
      <c r="Q672" s="3">
        <v>2802</v>
      </c>
      <c r="R672">
        <v>44</v>
      </c>
      <c r="S672" s="3">
        <f>G672*SuperMarket_Analysis[[#This Row],[Quantity]]</f>
        <v>56040</v>
      </c>
    </row>
    <row r="673" spans="1:19" x14ac:dyDescent="0.25">
      <c r="A673" s="1" t="s">
        <v>707</v>
      </c>
      <c r="B673" s="1" t="s">
        <v>41</v>
      </c>
      <c r="C673" s="1" t="s">
        <v>42</v>
      </c>
      <c r="D673" s="1" t="s">
        <v>20</v>
      </c>
      <c r="E673" s="1" t="s">
        <v>177</v>
      </c>
      <c r="F673" s="1" t="s">
        <v>43</v>
      </c>
      <c r="G673" s="3">
        <v>934</v>
      </c>
      <c r="H673">
        <v>2</v>
      </c>
      <c r="I673" s="3">
        <v>934</v>
      </c>
      <c r="J673">
        <v>19614</v>
      </c>
      <c r="K673" t="str">
        <f t="shared" si="10"/>
        <v>março</v>
      </c>
      <c r="L673" s="4">
        <v>43554</v>
      </c>
      <c r="M673" s="2">
        <v>0.69027777777777777</v>
      </c>
      <c r="N673" s="1" t="s">
        <v>29</v>
      </c>
      <c r="O673" s="3">
        <v>1868</v>
      </c>
      <c r="P673">
        <v>4761904762</v>
      </c>
      <c r="Q673" s="3">
        <v>934</v>
      </c>
      <c r="R673">
        <v>55</v>
      </c>
      <c r="S673" s="3">
        <f>G673*SuperMarket_Analysis[[#This Row],[Quantity]]</f>
        <v>1868</v>
      </c>
    </row>
    <row r="674" spans="1:19" x14ac:dyDescent="0.25">
      <c r="A674" s="1" t="s">
        <v>708</v>
      </c>
      <c r="B674" s="1" t="s">
        <v>41</v>
      </c>
      <c r="C674" s="1" t="s">
        <v>42</v>
      </c>
      <c r="D674" s="1" t="s">
        <v>27</v>
      </c>
      <c r="E674" s="1" t="s">
        <v>21</v>
      </c>
      <c r="F674" s="1" t="s">
        <v>22</v>
      </c>
      <c r="G674" s="3">
        <v>7341</v>
      </c>
      <c r="H674">
        <v>3</v>
      </c>
      <c r="I674" s="3">
        <v>110115</v>
      </c>
      <c r="J674">
        <v>2312415</v>
      </c>
      <c r="K674" t="str">
        <f t="shared" si="10"/>
        <v>março</v>
      </c>
      <c r="L674" s="4">
        <v>43526</v>
      </c>
      <c r="M674" s="2">
        <v>0.54861111111111116</v>
      </c>
      <c r="N674" s="1" t="s">
        <v>23</v>
      </c>
      <c r="O674" s="3">
        <v>22023</v>
      </c>
      <c r="P674">
        <v>4761904762</v>
      </c>
      <c r="Q674" s="3">
        <v>110115</v>
      </c>
      <c r="R674">
        <v>4</v>
      </c>
      <c r="S674" s="3">
        <f>G674*SuperMarket_Analysis[[#This Row],[Quantity]]</f>
        <v>22023</v>
      </c>
    </row>
    <row r="675" spans="1:19" x14ac:dyDescent="0.25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177</v>
      </c>
      <c r="F675" s="1" t="s">
        <v>22</v>
      </c>
      <c r="G675" s="3">
        <v>3364</v>
      </c>
      <c r="H675">
        <v>8</v>
      </c>
      <c r="I675" s="3">
        <v>13456</v>
      </c>
      <c r="J675">
        <v>282576</v>
      </c>
      <c r="K675" t="str">
        <f t="shared" si="10"/>
        <v>fevereiro</v>
      </c>
      <c r="L675" s="4">
        <v>43511</v>
      </c>
      <c r="M675" s="2">
        <v>0.71527777777777779</v>
      </c>
      <c r="N675" s="1" t="s">
        <v>32</v>
      </c>
      <c r="O675" s="3">
        <v>26912</v>
      </c>
      <c r="P675">
        <v>4761904762</v>
      </c>
      <c r="Q675" s="3">
        <v>13456</v>
      </c>
      <c r="R675">
        <v>93</v>
      </c>
      <c r="S675" s="3">
        <f>G675*SuperMarket_Analysis[[#This Row],[Quantity]]</f>
        <v>26912</v>
      </c>
    </row>
    <row r="676" spans="1:19" x14ac:dyDescent="0.25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3">
        <v>4548</v>
      </c>
      <c r="H676">
        <v>10</v>
      </c>
      <c r="I676" s="3">
        <v>2274</v>
      </c>
      <c r="J676">
        <v>47754</v>
      </c>
      <c r="K676" t="str">
        <f t="shared" si="10"/>
        <v>março</v>
      </c>
      <c r="L676" s="4">
        <v>43525</v>
      </c>
      <c r="M676" s="2">
        <v>0.43194444444444446</v>
      </c>
      <c r="N676" s="1" t="s">
        <v>32</v>
      </c>
      <c r="O676" s="3">
        <v>4548</v>
      </c>
      <c r="P676">
        <v>4761904762</v>
      </c>
      <c r="Q676" s="3">
        <v>2274</v>
      </c>
      <c r="R676">
        <v>48</v>
      </c>
      <c r="S676" s="3">
        <f>G676*SuperMarket_Analysis[[#This Row],[Quantity]]</f>
        <v>45480</v>
      </c>
    </row>
    <row r="677" spans="1:19" x14ac:dyDescent="0.25">
      <c r="A677" s="1" t="s">
        <v>711</v>
      </c>
      <c r="B677" s="1" t="s">
        <v>41</v>
      </c>
      <c r="C677" s="1" t="s">
        <v>42</v>
      </c>
      <c r="D677" s="1" t="s">
        <v>20</v>
      </c>
      <c r="E677" s="1" t="s">
        <v>177</v>
      </c>
      <c r="F677" s="1" t="s">
        <v>45</v>
      </c>
      <c r="G677" s="3">
        <v>8377</v>
      </c>
      <c r="H677">
        <v>2</v>
      </c>
      <c r="I677" s="3">
        <v>8377</v>
      </c>
      <c r="J677">
        <v>175917</v>
      </c>
      <c r="K677" t="str">
        <f t="shared" si="10"/>
        <v>fevereiro</v>
      </c>
      <c r="L677" s="4">
        <v>43520</v>
      </c>
      <c r="M677" s="2">
        <v>0.83125000000000004</v>
      </c>
      <c r="N677" s="1" t="s">
        <v>29</v>
      </c>
      <c r="O677" s="3">
        <v>16754</v>
      </c>
      <c r="P677">
        <v>4761904762</v>
      </c>
      <c r="Q677" s="3">
        <v>8377</v>
      </c>
      <c r="R677">
        <v>46</v>
      </c>
      <c r="S677" s="3">
        <f>G677*SuperMarket_Analysis[[#This Row],[Quantity]]</f>
        <v>16754</v>
      </c>
    </row>
    <row r="678" spans="1:19" x14ac:dyDescent="0.25">
      <c r="A678" s="1" t="s">
        <v>712</v>
      </c>
      <c r="B678" s="1" t="s">
        <v>41</v>
      </c>
      <c r="C678" s="1" t="s">
        <v>42</v>
      </c>
      <c r="D678" s="1" t="s">
        <v>20</v>
      </c>
      <c r="E678" s="1" t="s">
        <v>21</v>
      </c>
      <c r="F678" s="1" t="s">
        <v>35</v>
      </c>
      <c r="G678" s="3">
        <v>6408</v>
      </c>
      <c r="H678">
        <v>7</v>
      </c>
      <c r="I678" s="3">
        <v>22428</v>
      </c>
      <c r="J678">
        <v>470988</v>
      </c>
      <c r="K678" t="str">
        <f t="shared" si="10"/>
        <v>fevereiro</v>
      </c>
      <c r="L678" s="4">
        <v>43515</v>
      </c>
      <c r="M678" s="2">
        <v>0.81180555555555556</v>
      </c>
      <c r="N678" s="1" t="s">
        <v>32</v>
      </c>
      <c r="O678" s="3">
        <v>44856</v>
      </c>
      <c r="P678">
        <v>4761904762</v>
      </c>
      <c r="Q678" s="3">
        <v>22428</v>
      </c>
      <c r="R678">
        <v>73</v>
      </c>
      <c r="S678" s="3">
        <f>G678*SuperMarket_Analysis[[#This Row],[Quantity]]</f>
        <v>44856</v>
      </c>
    </row>
    <row r="679" spans="1:19" x14ac:dyDescent="0.25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43</v>
      </c>
      <c r="G679" s="3">
        <v>7347</v>
      </c>
      <c r="H679">
        <v>4</v>
      </c>
      <c r="I679" s="3">
        <v>14694</v>
      </c>
      <c r="J679">
        <v>308574</v>
      </c>
      <c r="K679" t="str">
        <f t="shared" si="10"/>
        <v>fevereiro</v>
      </c>
      <c r="L679" s="4">
        <v>43519</v>
      </c>
      <c r="M679" s="2">
        <v>0.77083333333333337</v>
      </c>
      <c r="N679" s="1" t="s">
        <v>29</v>
      </c>
      <c r="O679" s="3">
        <v>29388</v>
      </c>
      <c r="P679">
        <v>4761904762</v>
      </c>
      <c r="Q679" s="3">
        <v>14694</v>
      </c>
      <c r="R679">
        <v>6</v>
      </c>
      <c r="S679" s="3">
        <f>G679*SuperMarket_Analysis[[#This Row],[Quantity]]</f>
        <v>29388</v>
      </c>
    </row>
    <row r="680" spans="1:19" x14ac:dyDescent="0.25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177</v>
      </c>
      <c r="F680" s="1" t="s">
        <v>22</v>
      </c>
      <c r="G680" s="3">
        <v>5895</v>
      </c>
      <c r="H680">
        <v>10</v>
      </c>
      <c r="I680" s="3">
        <v>29475</v>
      </c>
      <c r="J680">
        <v>618975</v>
      </c>
      <c r="K680" t="str">
        <f t="shared" si="10"/>
        <v>fevereiro</v>
      </c>
      <c r="L680" s="4">
        <v>43503</v>
      </c>
      <c r="M680" s="2">
        <v>0.6020833333333333</v>
      </c>
      <c r="N680" s="1" t="s">
        <v>23</v>
      </c>
      <c r="O680" s="3">
        <v>5895</v>
      </c>
      <c r="P680">
        <v>4761904762</v>
      </c>
      <c r="Q680" s="3">
        <v>29475</v>
      </c>
      <c r="R680">
        <v>81</v>
      </c>
      <c r="S680" s="3">
        <f>G680*SuperMarket_Analysis[[#This Row],[Quantity]]</f>
        <v>58950</v>
      </c>
    </row>
    <row r="681" spans="1:19" x14ac:dyDescent="0.25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177</v>
      </c>
      <c r="F681" s="1" t="s">
        <v>43</v>
      </c>
      <c r="G681" s="3">
        <v>485</v>
      </c>
      <c r="H681">
        <v>6</v>
      </c>
      <c r="I681" s="3">
        <v>1455</v>
      </c>
      <c r="J681">
        <v>30555</v>
      </c>
      <c r="K681" t="str">
        <f t="shared" si="10"/>
        <v>janeiro</v>
      </c>
      <c r="L681" s="4">
        <v>43476</v>
      </c>
      <c r="M681" s="2">
        <v>0.58125000000000004</v>
      </c>
      <c r="N681" s="1" t="s">
        <v>23</v>
      </c>
      <c r="O681" s="3">
        <v>291</v>
      </c>
      <c r="P681">
        <v>4761904762</v>
      </c>
      <c r="Q681" s="3">
        <v>1455</v>
      </c>
      <c r="R681">
        <v>94</v>
      </c>
      <c r="S681" s="3">
        <f>G681*SuperMarket_Analysis[[#This Row],[Quantity]]</f>
        <v>2910</v>
      </c>
    </row>
    <row r="682" spans="1:19" x14ac:dyDescent="0.25">
      <c r="A682" s="1" t="s">
        <v>716</v>
      </c>
      <c r="B682" s="1" t="s">
        <v>41</v>
      </c>
      <c r="C682" s="1" t="s">
        <v>42</v>
      </c>
      <c r="D682" s="1" t="s">
        <v>20</v>
      </c>
      <c r="E682" s="1" t="s">
        <v>21</v>
      </c>
      <c r="F682" s="1" t="s">
        <v>28</v>
      </c>
      <c r="G682" s="3">
        <v>3948</v>
      </c>
      <c r="H682">
        <v>1</v>
      </c>
      <c r="I682" s="3">
        <v>1974</v>
      </c>
      <c r="J682">
        <v>41454</v>
      </c>
      <c r="K682" t="str">
        <f t="shared" si="10"/>
        <v>fevereiro</v>
      </c>
      <c r="L682" s="4">
        <v>43508</v>
      </c>
      <c r="M682" s="2">
        <v>0.82152777777777775</v>
      </c>
      <c r="N682" s="1" t="s">
        <v>29</v>
      </c>
      <c r="O682" s="3">
        <v>3948</v>
      </c>
      <c r="P682">
        <v>4761904762</v>
      </c>
      <c r="Q682" s="3">
        <v>1974</v>
      </c>
      <c r="R682">
        <v>65</v>
      </c>
      <c r="S682" s="3">
        <f>G682*SuperMarket_Analysis[[#This Row],[Quantity]]</f>
        <v>3948</v>
      </c>
    </row>
    <row r="683" spans="1:19" x14ac:dyDescent="0.25">
      <c r="A683" s="1" t="s">
        <v>717</v>
      </c>
      <c r="B683" s="1" t="s">
        <v>41</v>
      </c>
      <c r="C683" s="1" t="s">
        <v>42</v>
      </c>
      <c r="D683" s="1" t="s">
        <v>27</v>
      </c>
      <c r="E683" s="1" t="s">
        <v>21</v>
      </c>
      <c r="F683" s="1" t="s">
        <v>35</v>
      </c>
      <c r="G683" s="3">
        <v>3481</v>
      </c>
      <c r="H683">
        <v>1</v>
      </c>
      <c r="I683" s="3">
        <v>17405</v>
      </c>
      <c r="J683">
        <v>365505</v>
      </c>
      <c r="K683" t="str">
        <f t="shared" si="10"/>
        <v>janeiro</v>
      </c>
      <c r="L683" s="4">
        <v>43479</v>
      </c>
      <c r="M683" s="2">
        <v>0.42430555555555555</v>
      </c>
      <c r="N683" s="1" t="s">
        <v>32</v>
      </c>
      <c r="O683" s="3">
        <v>3481</v>
      </c>
      <c r="P683">
        <v>4761904762</v>
      </c>
      <c r="Q683" s="3">
        <v>17405</v>
      </c>
      <c r="R683">
        <v>7</v>
      </c>
      <c r="S683" s="3">
        <f>G683*SuperMarket_Analysis[[#This Row],[Quantity]]</f>
        <v>3481</v>
      </c>
    </row>
    <row r="684" spans="1:19" x14ac:dyDescent="0.25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45</v>
      </c>
      <c r="G684" s="3">
        <v>4932</v>
      </c>
      <c r="H684">
        <v>6</v>
      </c>
      <c r="I684" s="3">
        <v>14796</v>
      </c>
      <c r="J684">
        <v>310716</v>
      </c>
      <c r="K684" t="str">
        <f t="shared" si="10"/>
        <v>janeiro</v>
      </c>
      <c r="L684" s="4">
        <v>43474</v>
      </c>
      <c r="M684" s="2">
        <v>0.57361111111111107</v>
      </c>
      <c r="N684" s="1" t="s">
        <v>23</v>
      </c>
      <c r="O684" s="3">
        <v>29592</v>
      </c>
      <c r="P684">
        <v>4761904762</v>
      </c>
      <c r="Q684" s="3">
        <v>14796</v>
      </c>
      <c r="R684">
        <v>71</v>
      </c>
      <c r="S684" s="3">
        <f>G684*SuperMarket_Analysis[[#This Row],[Quantity]]</f>
        <v>29592</v>
      </c>
    </row>
    <row r="685" spans="1:19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177</v>
      </c>
      <c r="F685" s="1" t="s">
        <v>45</v>
      </c>
      <c r="G685" s="3">
        <v>2148</v>
      </c>
      <c r="H685">
        <v>2</v>
      </c>
      <c r="I685" s="3">
        <v>2148</v>
      </c>
      <c r="J685">
        <v>45108</v>
      </c>
      <c r="K685" t="str">
        <f t="shared" si="10"/>
        <v>fevereiro</v>
      </c>
      <c r="L685" s="4">
        <v>43523</v>
      </c>
      <c r="M685" s="2">
        <v>0.51527777777777772</v>
      </c>
      <c r="N685" s="1" t="s">
        <v>23</v>
      </c>
      <c r="O685" s="3">
        <v>4296</v>
      </c>
      <c r="P685">
        <v>4761904762</v>
      </c>
      <c r="Q685" s="3">
        <v>2148</v>
      </c>
      <c r="R685">
        <v>66</v>
      </c>
      <c r="S685" s="3">
        <f>G685*SuperMarket_Analysis[[#This Row],[Quantity]]</f>
        <v>4296</v>
      </c>
    </row>
    <row r="686" spans="1:19" x14ac:dyDescent="0.25">
      <c r="A686" s="1" t="s">
        <v>720</v>
      </c>
      <c r="B686" s="1" t="s">
        <v>41</v>
      </c>
      <c r="C686" s="1" t="s">
        <v>42</v>
      </c>
      <c r="D686" s="1" t="s">
        <v>20</v>
      </c>
      <c r="E686" s="1" t="s">
        <v>21</v>
      </c>
      <c r="F686" s="1" t="s">
        <v>35</v>
      </c>
      <c r="G686" s="3">
        <v>2308</v>
      </c>
      <c r="H686">
        <v>6</v>
      </c>
      <c r="I686" s="3">
        <v>6924</v>
      </c>
      <c r="J686">
        <v>145404</v>
      </c>
      <c r="K686" t="str">
        <f t="shared" si="10"/>
        <v>janeiro</v>
      </c>
      <c r="L686" s="4">
        <v>43489</v>
      </c>
      <c r="M686" s="2">
        <v>0.80555555555555558</v>
      </c>
      <c r="N686" s="1" t="s">
        <v>23</v>
      </c>
      <c r="O686" s="3">
        <v>13848</v>
      </c>
      <c r="P686">
        <v>4761904762</v>
      </c>
      <c r="Q686" s="3">
        <v>6924</v>
      </c>
      <c r="R686">
        <v>49</v>
      </c>
      <c r="S686" s="3">
        <f>G686*SuperMarket_Analysis[[#This Row],[Quantity]]</f>
        <v>13848</v>
      </c>
    </row>
    <row r="687" spans="1:19" x14ac:dyDescent="0.25">
      <c r="A687" s="1" t="s">
        <v>721</v>
      </c>
      <c r="B687" s="1" t="s">
        <v>41</v>
      </c>
      <c r="C687" s="1" t="s">
        <v>42</v>
      </c>
      <c r="D687" s="1" t="s">
        <v>20</v>
      </c>
      <c r="E687" s="1" t="s">
        <v>21</v>
      </c>
      <c r="F687" s="1" t="s">
        <v>31</v>
      </c>
      <c r="G687" s="3">
        <v>491</v>
      </c>
      <c r="H687">
        <v>2</v>
      </c>
      <c r="I687" s="3">
        <v>491</v>
      </c>
      <c r="J687">
        <v>10311</v>
      </c>
      <c r="K687" t="str">
        <f t="shared" si="10"/>
        <v>janeiro</v>
      </c>
      <c r="L687" s="4">
        <v>43473</v>
      </c>
      <c r="M687" s="2">
        <v>0.54027777777777775</v>
      </c>
      <c r="N687" s="1" t="s">
        <v>32</v>
      </c>
      <c r="O687" s="3">
        <v>982</v>
      </c>
      <c r="P687">
        <v>4761904762</v>
      </c>
      <c r="Q687" s="3">
        <v>491</v>
      </c>
      <c r="R687">
        <v>64</v>
      </c>
      <c r="S687" s="3">
        <f>G687*SuperMarket_Analysis[[#This Row],[Quantity]]</f>
        <v>982</v>
      </c>
    </row>
    <row r="688" spans="1:19" x14ac:dyDescent="0.25">
      <c r="A688" s="1" t="s">
        <v>722</v>
      </c>
      <c r="B688" s="1" t="s">
        <v>41</v>
      </c>
      <c r="C688" s="1" t="s">
        <v>42</v>
      </c>
      <c r="D688" s="1" t="s">
        <v>20</v>
      </c>
      <c r="E688" s="1" t="s">
        <v>21</v>
      </c>
      <c r="F688" s="1" t="s">
        <v>35</v>
      </c>
      <c r="G688" s="3">
        <v>6483</v>
      </c>
      <c r="H688">
        <v>2</v>
      </c>
      <c r="I688" s="3">
        <v>6483</v>
      </c>
      <c r="J688">
        <v>136143</v>
      </c>
      <c r="K688" t="str">
        <f t="shared" si="10"/>
        <v>janeiro</v>
      </c>
      <c r="L688" s="4">
        <v>43473</v>
      </c>
      <c r="M688" s="2">
        <v>0.49930555555555556</v>
      </c>
      <c r="N688" s="1" t="s">
        <v>32</v>
      </c>
      <c r="O688" s="3">
        <v>12966</v>
      </c>
      <c r="P688">
        <v>4761904762</v>
      </c>
      <c r="Q688" s="3">
        <v>6483</v>
      </c>
      <c r="R688">
        <v>8</v>
      </c>
      <c r="S688" s="3">
        <f>G688*SuperMarket_Analysis[[#This Row],[Quantity]]</f>
        <v>12966</v>
      </c>
    </row>
    <row r="689" spans="1:19" x14ac:dyDescent="0.25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177</v>
      </c>
      <c r="F689" s="1" t="s">
        <v>31</v>
      </c>
      <c r="G689" s="3">
        <v>6356</v>
      </c>
      <c r="H689">
        <v>10</v>
      </c>
      <c r="I689" s="3">
        <v>3178</v>
      </c>
      <c r="J689">
        <v>66738</v>
      </c>
      <c r="K689" t="str">
        <f t="shared" si="10"/>
        <v>janeiro</v>
      </c>
      <c r="L689" s="4">
        <v>43481</v>
      </c>
      <c r="M689" s="2">
        <v>0.74930555555555556</v>
      </c>
      <c r="N689" s="1" t="s">
        <v>29</v>
      </c>
      <c r="O689" s="3">
        <v>6356</v>
      </c>
      <c r="P689">
        <v>4761904762</v>
      </c>
      <c r="Q689" s="3">
        <v>3178</v>
      </c>
      <c r="R689">
        <v>43</v>
      </c>
      <c r="S689" s="3">
        <f>G689*SuperMarket_Analysis[[#This Row],[Quantity]]</f>
        <v>63560</v>
      </c>
    </row>
    <row r="690" spans="1:19" x14ac:dyDescent="0.25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177</v>
      </c>
      <c r="F690" s="1" t="s">
        <v>35</v>
      </c>
      <c r="G690" s="3">
        <v>7288</v>
      </c>
      <c r="H690">
        <v>2</v>
      </c>
      <c r="I690" s="3">
        <v>7288</v>
      </c>
      <c r="J690">
        <v>153048</v>
      </c>
      <c r="K690" t="str">
        <f t="shared" si="10"/>
        <v>março</v>
      </c>
      <c r="L690" s="4">
        <v>43537</v>
      </c>
      <c r="M690" s="2">
        <v>0.53541666666666665</v>
      </c>
      <c r="N690" s="1" t="s">
        <v>29</v>
      </c>
      <c r="O690" s="3">
        <v>14576</v>
      </c>
      <c r="P690">
        <v>4761904762</v>
      </c>
      <c r="Q690" s="3">
        <v>7288</v>
      </c>
      <c r="R690">
        <v>61</v>
      </c>
      <c r="S690" s="3">
        <f>G690*SuperMarket_Analysis[[#This Row],[Quantity]]</f>
        <v>14576</v>
      </c>
    </row>
    <row r="691" spans="1:19" x14ac:dyDescent="0.25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43</v>
      </c>
      <c r="G691" s="3">
        <v>671</v>
      </c>
      <c r="H691">
        <v>3</v>
      </c>
      <c r="I691" s="3">
        <v>10065</v>
      </c>
      <c r="J691">
        <v>211365</v>
      </c>
      <c r="K691" t="str">
        <f t="shared" si="10"/>
        <v>fevereiro</v>
      </c>
      <c r="L691" s="4">
        <v>43511</v>
      </c>
      <c r="M691" s="2">
        <v>0.44166666666666665</v>
      </c>
      <c r="N691" s="1" t="s">
        <v>29</v>
      </c>
      <c r="O691" s="3">
        <v>2013</v>
      </c>
      <c r="P691">
        <v>4761904762</v>
      </c>
      <c r="Q691" s="3">
        <v>10065</v>
      </c>
      <c r="R691">
        <v>75</v>
      </c>
      <c r="S691" s="3">
        <f>G691*SuperMarket_Analysis[[#This Row],[Quantity]]</f>
        <v>2013</v>
      </c>
    </row>
    <row r="692" spans="1:19" x14ac:dyDescent="0.25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35</v>
      </c>
      <c r="G692" s="3">
        <v>7019</v>
      </c>
      <c r="H692">
        <v>9</v>
      </c>
      <c r="I692" s="3">
        <v>315855</v>
      </c>
      <c r="J692">
        <v>6632955</v>
      </c>
      <c r="K692" t="str">
        <f t="shared" si="10"/>
        <v>janeiro</v>
      </c>
      <c r="L692" s="4">
        <v>43490</v>
      </c>
      <c r="M692" s="2">
        <v>0.56805555555555554</v>
      </c>
      <c r="N692" s="1" t="s">
        <v>29</v>
      </c>
      <c r="O692" s="3">
        <v>63171</v>
      </c>
      <c r="P692">
        <v>4761904762</v>
      </c>
      <c r="Q692" s="3">
        <v>315855</v>
      </c>
      <c r="R692">
        <v>67</v>
      </c>
      <c r="S692" s="3">
        <f>G692*SuperMarket_Analysis[[#This Row],[Quantity]]</f>
        <v>63171</v>
      </c>
    </row>
    <row r="693" spans="1:19" x14ac:dyDescent="0.25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177</v>
      </c>
      <c r="F693" s="1" t="s">
        <v>43</v>
      </c>
      <c r="G693" s="3">
        <v>5504</v>
      </c>
      <c r="H693">
        <v>7</v>
      </c>
      <c r="I693" s="3">
        <v>19264</v>
      </c>
      <c r="J693">
        <v>404544</v>
      </c>
      <c r="K693" t="str">
        <f t="shared" si="10"/>
        <v>março</v>
      </c>
      <c r="L693" s="4">
        <v>43536</v>
      </c>
      <c r="M693" s="2">
        <v>0.81874999999999998</v>
      </c>
      <c r="N693" s="1" t="s">
        <v>23</v>
      </c>
      <c r="O693" s="3">
        <v>38528</v>
      </c>
      <c r="P693">
        <v>4761904762</v>
      </c>
      <c r="Q693" s="3">
        <v>19264</v>
      </c>
      <c r="R693">
        <v>52</v>
      </c>
      <c r="S693" s="3">
        <f>G693*SuperMarket_Analysis[[#This Row],[Quantity]]</f>
        <v>38528</v>
      </c>
    </row>
    <row r="694" spans="1:19" x14ac:dyDescent="0.25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177</v>
      </c>
      <c r="F694" s="1" t="s">
        <v>22</v>
      </c>
      <c r="G694" s="3">
        <v>4863</v>
      </c>
      <c r="H694">
        <v>10</v>
      </c>
      <c r="I694" s="3">
        <v>24315</v>
      </c>
      <c r="J694">
        <v>510615</v>
      </c>
      <c r="K694" t="str">
        <f t="shared" si="10"/>
        <v>março</v>
      </c>
      <c r="L694" s="4">
        <v>43528</v>
      </c>
      <c r="M694" s="2">
        <v>0.53055555555555556</v>
      </c>
      <c r="N694" s="1" t="s">
        <v>29</v>
      </c>
      <c r="O694" s="3">
        <v>4863</v>
      </c>
      <c r="P694">
        <v>4761904762</v>
      </c>
      <c r="Q694" s="3">
        <v>24315</v>
      </c>
      <c r="R694">
        <v>88</v>
      </c>
      <c r="S694" s="3">
        <f>G694*SuperMarket_Analysis[[#This Row],[Quantity]]</f>
        <v>48630</v>
      </c>
    </row>
    <row r="695" spans="1:19" x14ac:dyDescent="0.25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45</v>
      </c>
      <c r="G695" s="3">
        <v>7338</v>
      </c>
      <c r="H695">
        <v>7</v>
      </c>
      <c r="I695" s="3">
        <v>25683</v>
      </c>
      <c r="J695">
        <v>539343</v>
      </c>
      <c r="K695" t="str">
        <f t="shared" si="10"/>
        <v>fevereiro</v>
      </c>
      <c r="L695" s="4">
        <v>43506</v>
      </c>
      <c r="M695" s="2">
        <v>0.5805555555555556</v>
      </c>
      <c r="N695" s="1" t="s">
        <v>29</v>
      </c>
      <c r="O695" s="3">
        <v>51366</v>
      </c>
      <c r="P695">
        <v>4761904762</v>
      </c>
      <c r="Q695" s="3">
        <v>25683</v>
      </c>
      <c r="R695">
        <v>95</v>
      </c>
      <c r="S695" s="3">
        <f>G695*SuperMarket_Analysis[[#This Row],[Quantity]]</f>
        <v>51366</v>
      </c>
    </row>
    <row r="696" spans="1:19" x14ac:dyDescent="0.25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43</v>
      </c>
      <c r="G696" s="3">
        <v>526</v>
      </c>
      <c r="H696">
        <v>9</v>
      </c>
      <c r="I696" s="3">
        <v>2367</v>
      </c>
      <c r="J696">
        <v>49707</v>
      </c>
      <c r="K696" t="str">
        <f t="shared" si="10"/>
        <v>janeiro</v>
      </c>
      <c r="L696" s="4">
        <v>43481</v>
      </c>
      <c r="M696" s="2">
        <v>0.61250000000000004</v>
      </c>
      <c r="N696" s="1" t="s">
        <v>29</v>
      </c>
      <c r="O696" s="3">
        <v>4734</v>
      </c>
      <c r="P696">
        <v>4761904762</v>
      </c>
      <c r="Q696" s="3">
        <v>2367</v>
      </c>
      <c r="R696">
        <v>76</v>
      </c>
      <c r="S696" s="3">
        <f>G696*SuperMarket_Analysis[[#This Row],[Quantity]]</f>
        <v>4734</v>
      </c>
    </row>
    <row r="697" spans="1:19" x14ac:dyDescent="0.25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3">
        <v>8737</v>
      </c>
      <c r="H697">
        <v>5</v>
      </c>
      <c r="I697" s="3">
        <v>218425</v>
      </c>
      <c r="J697">
        <v>4586925</v>
      </c>
      <c r="K697" t="str">
        <f t="shared" si="10"/>
        <v>janeiro</v>
      </c>
      <c r="L697" s="4">
        <v>43494</v>
      </c>
      <c r="M697" s="2">
        <v>0.82291666666666663</v>
      </c>
      <c r="N697" s="1" t="s">
        <v>29</v>
      </c>
      <c r="O697" s="3">
        <v>43685</v>
      </c>
      <c r="P697">
        <v>4761904762</v>
      </c>
      <c r="Q697" s="3">
        <v>218425</v>
      </c>
      <c r="R697">
        <v>66</v>
      </c>
      <c r="S697" s="3">
        <f>G697*SuperMarket_Analysis[[#This Row],[Quantity]]</f>
        <v>43685</v>
      </c>
    </row>
    <row r="698" spans="1:19" x14ac:dyDescent="0.25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35</v>
      </c>
      <c r="G698" s="3">
        <v>2704</v>
      </c>
      <c r="H698">
        <v>4</v>
      </c>
      <c r="I698" s="3">
        <v>5408</v>
      </c>
      <c r="J698">
        <v>113568</v>
      </c>
      <c r="K698" t="str">
        <f t="shared" si="10"/>
        <v>janeiro</v>
      </c>
      <c r="L698" s="4">
        <v>43466</v>
      </c>
      <c r="M698" s="2">
        <v>0.85138888888888886</v>
      </c>
      <c r="N698" s="1" t="s">
        <v>23</v>
      </c>
      <c r="O698" s="3">
        <v>10816</v>
      </c>
      <c r="P698">
        <v>4761904762</v>
      </c>
      <c r="Q698" s="3">
        <v>5408</v>
      </c>
      <c r="R698">
        <v>69</v>
      </c>
      <c r="S698" s="3">
        <f>G698*SuperMarket_Analysis[[#This Row],[Quantity]]</f>
        <v>10816</v>
      </c>
    </row>
    <row r="699" spans="1:19" x14ac:dyDescent="0.25">
      <c r="A699" s="1" t="s">
        <v>733</v>
      </c>
      <c r="B699" s="1" t="s">
        <v>41</v>
      </c>
      <c r="C699" s="1" t="s">
        <v>42</v>
      </c>
      <c r="D699" s="1" t="s">
        <v>27</v>
      </c>
      <c r="E699" s="1" t="s">
        <v>177</v>
      </c>
      <c r="F699" s="1" t="s">
        <v>31</v>
      </c>
      <c r="G699" s="3">
        <v>6219</v>
      </c>
      <c r="H699">
        <v>4</v>
      </c>
      <c r="I699" s="3">
        <v>12438</v>
      </c>
      <c r="J699">
        <v>261198</v>
      </c>
      <c r="K699" t="str">
        <f t="shared" si="10"/>
        <v>janeiro</v>
      </c>
      <c r="L699" s="4">
        <v>43471</v>
      </c>
      <c r="M699" s="2">
        <v>0.82361111111111107</v>
      </c>
      <c r="N699" s="1" t="s">
        <v>23</v>
      </c>
      <c r="O699" s="3">
        <v>24876</v>
      </c>
      <c r="P699">
        <v>4761904762</v>
      </c>
      <c r="Q699" s="3">
        <v>12438</v>
      </c>
      <c r="R699">
        <v>43</v>
      </c>
      <c r="S699" s="3">
        <f>G699*SuperMarket_Analysis[[#This Row],[Quantity]]</f>
        <v>24876</v>
      </c>
    </row>
    <row r="700" spans="1:19" x14ac:dyDescent="0.25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177</v>
      </c>
      <c r="F700" s="1" t="s">
        <v>28</v>
      </c>
      <c r="G700" s="3">
        <v>6958</v>
      </c>
      <c r="H700">
        <v>9</v>
      </c>
      <c r="I700" s="3">
        <v>31311</v>
      </c>
      <c r="J700">
        <v>657531</v>
      </c>
      <c r="K700" t="str">
        <f t="shared" si="10"/>
        <v>fevereiro</v>
      </c>
      <c r="L700" s="4">
        <v>43515</v>
      </c>
      <c r="M700" s="2">
        <v>0.81805555555555554</v>
      </c>
      <c r="N700" s="1" t="s">
        <v>32</v>
      </c>
      <c r="O700" s="3">
        <v>62622</v>
      </c>
      <c r="P700">
        <v>4761904762</v>
      </c>
      <c r="Q700" s="3">
        <v>31311</v>
      </c>
      <c r="R700">
        <v>78</v>
      </c>
      <c r="S700" s="3">
        <f>G700*SuperMarket_Analysis[[#This Row],[Quantity]]</f>
        <v>62622</v>
      </c>
    </row>
    <row r="701" spans="1:19" x14ac:dyDescent="0.25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177</v>
      </c>
      <c r="F701" s="1" t="s">
        <v>31</v>
      </c>
      <c r="G701" s="3">
        <v>975</v>
      </c>
      <c r="H701">
        <v>10</v>
      </c>
      <c r="I701" s="3">
        <v>4875</v>
      </c>
      <c r="J701">
        <v>102375</v>
      </c>
      <c r="K701" t="str">
        <f t="shared" si="10"/>
        <v>janeiro</v>
      </c>
      <c r="L701" s="4">
        <v>43477</v>
      </c>
      <c r="M701" s="2">
        <v>0.6791666666666667</v>
      </c>
      <c r="N701" s="1" t="s">
        <v>23</v>
      </c>
      <c r="O701" s="3">
        <v>975</v>
      </c>
      <c r="P701">
        <v>4761904762</v>
      </c>
      <c r="Q701" s="3">
        <v>4875</v>
      </c>
      <c r="R701">
        <v>8</v>
      </c>
      <c r="S701" s="3">
        <f>G701*SuperMarket_Analysis[[#This Row],[Quantity]]</f>
        <v>9750</v>
      </c>
    </row>
    <row r="702" spans="1:19" x14ac:dyDescent="0.25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45</v>
      </c>
      <c r="G702" s="3">
        <v>6041</v>
      </c>
      <c r="H702">
        <v>8</v>
      </c>
      <c r="I702" s="3">
        <v>24164</v>
      </c>
      <c r="J702">
        <v>507444</v>
      </c>
      <c r="K702" t="str">
        <f t="shared" si="10"/>
        <v>fevereiro</v>
      </c>
      <c r="L702" s="4">
        <v>43503</v>
      </c>
      <c r="M702" s="2">
        <v>0.51597222222222228</v>
      </c>
      <c r="N702" s="1" t="s">
        <v>23</v>
      </c>
      <c r="O702" s="3">
        <v>48328</v>
      </c>
      <c r="P702">
        <v>4761904762</v>
      </c>
      <c r="Q702" s="3">
        <v>24164</v>
      </c>
      <c r="R702">
        <v>96</v>
      </c>
      <c r="S702" s="3">
        <f>G702*SuperMarket_Analysis[[#This Row],[Quantity]]</f>
        <v>48328</v>
      </c>
    </row>
    <row r="703" spans="1:19" x14ac:dyDescent="0.25">
      <c r="A703" s="1" t="s">
        <v>737</v>
      </c>
      <c r="B703" s="1" t="s">
        <v>41</v>
      </c>
      <c r="C703" s="1" t="s">
        <v>42</v>
      </c>
      <c r="D703" s="1" t="s">
        <v>27</v>
      </c>
      <c r="E703" s="1" t="s">
        <v>177</v>
      </c>
      <c r="F703" s="1" t="s">
        <v>43</v>
      </c>
      <c r="G703" s="3">
        <v>3232</v>
      </c>
      <c r="H703">
        <v>3</v>
      </c>
      <c r="I703" s="3">
        <v>4848</v>
      </c>
      <c r="J703">
        <v>101808</v>
      </c>
      <c r="K703" t="str">
        <f t="shared" si="10"/>
        <v>março</v>
      </c>
      <c r="L703" s="4">
        <v>43551</v>
      </c>
      <c r="M703" s="2">
        <v>0.7993055555555556</v>
      </c>
      <c r="N703" s="1" t="s">
        <v>32</v>
      </c>
      <c r="O703" s="3">
        <v>9696</v>
      </c>
      <c r="P703">
        <v>4761904762</v>
      </c>
      <c r="Q703" s="3">
        <v>4848</v>
      </c>
      <c r="R703">
        <v>43</v>
      </c>
      <c r="S703" s="3">
        <f>G703*SuperMarket_Analysis[[#This Row],[Quantity]]</f>
        <v>9696</v>
      </c>
    </row>
    <row r="704" spans="1:19" x14ac:dyDescent="0.25">
      <c r="A704" s="1" t="s">
        <v>738</v>
      </c>
      <c r="B704" s="1" t="s">
        <v>41</v>
      </c>
      <c r="C704" s="1" t="s">
        <v>42</v>
      </c>
      <c r="D704" s="1" t="s">
        <v>20</v>
      </c>
      <c r="E704" s="1" t="s">
        <v>21</v>
      </c>
      <c r="F704" s="1" t="s">
        <v>45</v>
      </c>
      <c r="G704" s="3">
        <v>1977</v>
      </c>
      <c r="H704">
        <v>10</v>
      </c>
      <c r="I704" s="3">
        <v>9885</v>
      </c>
      <c r="J704">
        <v>207585</v>
      </c>
      <c r="K704" t="str">
        <f t="shared" si="10"/>
        <v>fevereiro</v>
      </c>
      <c r="L704" s="4">
        <v>43523</v>
      </c>
      <c r="M704" s="2">
        <v>0.7895833333333333</v>
      </c>
      <c r="N704" s="1" t="s">
        <v>32</v>
      </c>
      <c r="O704" s="3">
        <v>1977</v>
      </c>
      <c r="P704">
        <v>4761904762</v>
      </c>
      <c r="Q704" s="3">
        <v>9885</v>
      </c>
      <c r="R704">
        <v>5</v>
      </c>
      <c r="S704" s="3">
        <f>G704*SuperMarket_Analysis[[#This Row],[Quantity]]</f>
        <v>19770</v>
      </c>
    </row>
    <row r="705" spans="1:19" x14ac:dyDescent="0.25">
      <c r="A705" s="1" t="s">
        <v>739</v>
      </c>
      <c r="B705" s="1" t="s">
        <v>41</v>
      </c>
      <c r="C705" s="1" t="s">
        <v>42</v>
      </c>
      <c r="D705" s="1" t="s">
        <v>20</v>
      </c>
      <c r="E705" s="1" t="s">
        <v>177</v>
      </c>
      <c r="F705" s="1" t="s">
        <v>22</v>
      </c>
      <c r="G705" s="3">
        <v>8047</v>
      </c>
      <c r="H705">
        <v>9</v>
      </c>
      <c r="I705" s="3">
        <v>362115</v>
      </c>
      <c r="J705">
        <v>7604415</v>
      </c>
      <c r="K705" t="str">
        <f t="shared" si="10"/>
        <v>janeiro</v>
      </c>
      <c r="L705" s="4">
        <v>43471</v>
      </c>
      <c r="M705" s="2">
        <v>0.47083333333333333</v>
      </c>
      <c r="N705" s="1" t="s">
        <v>29</v>
      </c>
      <c r="O705" s="3">
        <v>72423</v>
      </c>
      <c r="P705">
        <v>4761904762</v>
      </c>
      <c r="Q705" s="3">
        <v>362115</v>
      </c>
      <c r="R705">
        <v>92</v>
      </c>
      <c r="S705" s="3">
        <f>G705*SuperMarket_Analysis[[#This Row],[Quantity]]</f>
        <v>72423</v>
      </c>
    </row>
    <row r="706" spans="1:19" x14ac:dyDescent="0.25">
      <c r="A706" s="1" t="s">
        <v>740</v>
      </c>
      <c r="B706" s="1" t="s">
        <v>41</v>
      </c>
      <c r="C706" s="1" t="s">
        <v>42</v>
      </c>
      <c r="D706" s="1" t="s">
        <v>20</v>
      </c>
      <c r="E706" s="1" t="s">
        <v>21</v>
      </c>
      <c r="F706" s="1" t="s">
        <v>31</v>
      </c>
      <c r="G706" s="3">
        <v>8839</v>
      </c>
      <c r="H706">
        <v>9</v>
      </c>
      <c r="I706" s="3">
        <v>397755</v>
      </c>
      <c r="J706">
        <v>8352855</v>
      </c>
      <c r="K706" t="str">
        <f t="shared" ref="K706:K769" si="11">TEXT(L706, "mmmm")</f>
        <v>março</v>
      </c>
      <c r="L706" s="4">
        <v>43526</v>
      </c>
      <c r="M706" s="2">
        <v>0.52777777777777779</v>
      </c>
      <c r="N706" s="1" t="s">
        <v>29</v>
      </c>
      <c r="O706" s="3">
        <v>79551</v>
      </c>
      <c r="P706">
        <v>4761904762</v>
      </c>
      <c r="Q706" s="3">
        <v>397755</v>
      </c>
      <c r="R706">
        <v>63</v>
      </c>
      <c r="S706" s="3">
        <f>G706*SuperMarket_Analysis[[#This Row],[Quantity]]</f>
        <v>79551</v>
      </c>
    </row>
    <row r="707" spans="1:19" x14ac:dyDescent="0.25">
      <c r="A707" s="1" t="s">
        <v>741</v>
      </c>
      <c r="B707" s="1" t="s">
        <v>41</v>
      </c>
      <c r="C707" s="1" t="s">
        <v>42</v>
      </c>
      <c r="D707" s="1" t="s">
        <v>27</v>
      </c>
      <c r="E707" s="1" t="s">
        <v>177</v>
      </c>
      <c r="F707" s="1" t="s">
        <v>22</v>
      </c>
      <c r="G707" s="3">
        <v>7177</v>
      </c>
      <c r="H707">
        <v>7</v>
      </c>
      <c r="I707" s="3">
        <v>251195</v>
      </c>
      <c r="J707">
        <v>5275095</v>
      </c>
      <c r="K707" t="str">
        <f t="shared" si="11"/>
        <v>março</v>
      </c>
      <c r="L707" s="4">
        <v>43553</v>
      </c>
      <c r="M707" s="2">
        <v>0.58750000000000002</v>
      </c>
      <c r="N707" s="1" t="s">
        <v>29</v>
      </c>
      <c r="O707" s="3">
        <v>50239</v>
      </c>
      <c r="P707">
        <v>4761904762</v>
      </c>
      <c r="Q707" s="3">
        <v>251195</v>
      </c>
      <c r="R707">
        <v>89</v>
      </c>
      <c r="S707" s="3">
        <f>G707*SuperMarket_Analysis[[#This Row],[Quantity]]</f>
        <v>50239</v>
      </c>
    </row>
    <row r="708" spans="1:19" x14ac:dyDescent="0.25">
      <c r="A708" s="1" t="s">
        <v>742</v>
      </c>
      <c r="B708" s="1" t="s">
        <v>41</v>
      </c>
      <c r="C708" s="1" t="s">
        <v>42</v>
      </c>
      <c r="D708" s="1" t="s">
        <v>27</v>
      </c>
      <c r="E708" s="1" t="s">
        <v>21</v>
      </c>
      <c r="F708" s="1" t="s">
        <v>28</v>
      </c>
      <c r="G708" s="3">
        <v>43</v>
      </c>
      <c r="H708">
        <v>4</v>
      </c>
      <c r="I708" s="3">
        <v>86</v>
      </c>
      <c r="J708">
        <v>1806</v>
      </c>
      <c r="K708" t="str">
        <f t="shared" si="11"/>
        <v>janeiro</v>
      </c>
      <c r="L708" s="4">
        <v>43496</v>
      </c>
      <c r="M708" s="2">
        <v>0.8666666666666667</v>
      </c>
      <c r="N708" s="1" t="s">
        <v>23</v>
      </c>
      <c r="O708" s="3">
        <v>172</v>
      </c>
      <c r="P708">
        <v>4761904762</v>
      </c>
      <c r="Q708" s="3">
        <v>86</v>
      </c>
      <c r="R708">
        <v>76</v>
      </c>
      <c r="S708" s="3">
        <f>G708*SuperMarket_Analysis[[#This Row],[Quantity]]</f>
        <v>172</v>
      </c>
    </row>
    <row r="709" spans="1:19" x14ac:dyDescent="0.25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177</v>
      </c>
      <c r="F709" s="1" t="s">
        <v>43</v>
      </c>
      <c r="G709" s="3">
        <v>6898</v>
      </c>
      <c r="H709">
        <v>1</v>
      </c>
      <c r="I709" s="3">
        <v>3449</v>
      </c>
      <c r="J709">
        <v>72429</v>
      </c>
      <c r="K709" t="str">
        <f t="shared" si="11"/>
        <v>janeiro</v>
      </c>
      <c r="L709" s="4">
        <v>43486</v>
      </c>
      <c r="M709" s="2">
        <v>0.84236111111111112</v>
      </c>
      <c r="N709" s="1" t="s">
        <v>29</v>
      </c>
      <c r="O709" s="3">
        <v>6898</v>
      </c>
      <c r="P709">
        <v>4761904762</v>
      </c>
      <c r="Q709" s="3">
        <v>3449</v>
      </c>
      <c r="R709">
        <v>48</v>
      </c>
      <c r="S709" s="3">
        <f>G709*SuperMarket_Analysis[[#This Row],[Quantity]]</f>
        <v>6898</v>
      </c>
    </row>
    <row r="710" spans="1:19" x14ac:dyDescent="0.25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177</v>
      </c>
      <c r="F710" s="1" t="s">
        <v>45</v>
      </c>
      <c r="G710" s="3">
        <v>1562</v>
      </c>
      <c r="H710">
        <v>8</v>
      </c>
      <c r="I710" s="3">
        <v>6248</v>
      </c>
      <c r="J710">
        <v>131208</v>
      </c>
      <c r="K710" t="str">
        <f t="shared" si="11"/>
        <v>janeiro</v>
      </c>
      <c r="L710" s="4">
        <v>43485</v>
      </c>
      <c r="M710" s="2">
        <v>0.85902777777777772</v>
      </c>
      <c r="N710" s="1" t="s">
        <v>23</v>
      </c>
      <c r="O710" s="3">
        <v>12496</v>
      </c>
      <c r="P710">
        <v>4761904762</v>
      </c>
      <c r="Q710" s="3">
        <v>6248</v>
      </c>
      <c r="R710">
        <v>91</v>
      </c>
      <c r="S710" s="3">
        <f>G710*SuperMarket_Analysis[[#This Row],[Quantity]]</f>
        <v>12496</v>
      </c>
    </row>
    <row r="711" spans="1:19" x14ac:dyDescent="0.25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177</v>
      </c>
      <c r="F711" s="1" t="s">
        <v>35</v>
      </c>
      <c r="G711" s="3">
        <v>257</v>
      </c>
      <c r="H711">
        <v>3</v>
      </c>
      <c r="I711" s="3">
        <v>3855</v>
      </c>
      <c r="J711">
        <v>80955</v>
      </c>
      <c r="K711" t="str">
        <f t="shared" si="11"/>
        <v>janeiro</v>
      </c>
      <c r="L711" s="4">
        <v>43482</v>
      </c>
      <c r="M711" s="2">
        <v>0.74930555555555556</v>
      </c>
      <c r="N711" s="1" t="s">
        <v>23</v>
      </c>
      <c r="O711" s="3">
        <v>771</v>
      </c>
      <c r="P711">
        <v>4761904762</v>
      </c>
      <c r="Q711" s="3">
        <v>3855</v>
      </c>
      <c r="R711">
        <v>61</v>
      </c>
      <c r="S711" s="3">
        <f>G711*SuperMarket_Analysis[[#This Row],[Quantity]]</f>
        <v>771</v>
      </c>
    </row>
    <row r="712" spans="1:19" x14ac:dyDescent="0.25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177</v>
      </c>
      <c r="F712" s="1" t="s">
        <v>43</v>
      </c>
      <c r="G712" s="3">
        <v>8062</v>
      </c>
      <c r="H712">
        <v>6</v>
      </c>
      <c r="I712" s="3">
        <v>24186</v>
      </c>
      <c r="J712">
        <v>507906</v>
      </c>
      <c r="K712" t="str">
        <f t="shared" si="11"/>
        <v>fevereiro</v>
      </c>
      <c r="L712" s="4">
        <v>43524</v>
      </c>
      <c r="M712" s="2">
        <v>0.84583333333333333</v>
      </c>
      <c r="N712" s="1" t="s">
        <v>29</v>
      </c>
      <c r="O712" s="3">
        <v>48372</v>
      </c>
      <c r="P712">
        <v>4761904762</v>
      </c>
      <c r="Q712" s="3">
        <v>24186</v>
      </c>
      <c r="R712">
        <v>91</v>
      </c>
      <c r="S712" s="3">
        <f>G712*SuperMarket_Analysis[[#This Row],[Quantity]]</f>
        <v>48372</v>
      </c>
    </row>
    <row r="713" spans="1:19" x14ac:dyDescent="0.25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3">
        <v>7553</v>
      </c>
      <c r="H713">
        <v>4</v>
      </c>
      <c r="I713" s="3">
        <v>15106</v>
      </c>
      <c r="J713">
        <v>317226</v>
      </c>
      <c r="K713" t="str">
        <f t="shared" si="11"/>
        <v>março</v>
      </c>
      <c r="L713" s="4">
        <v>43543</v>
      </c>
      <c r="M713" s="2">
        <v>0.66111111111111109</v>
      </c>
      <c r="N713" s="1" t="s">
        <v>23</v>
      </c>
      <c r="O713" s="3">
        <v>30212</v>
      </c>
      <c r="P713">
        <v>4761904762</v>
      </c>
      <c r="Q713" s="3">
        <v>15106</v>
      </c>
      <c r="R713">
        <v>83</v>
      </c>
      <c r="S713" s="3">
        <f>G713*SuperMarket_Analysis[[#This Row],[Quantity]]</f>
        <v>30212</v>
      </c>
    </row>
    <row r="714" spans="1:19" x14ac:dyDescent="0.25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3">
        <v>7763</v>
      </c>
      <c r="H714">
        <v>9</v>
      </c>
      <c r="I714" s="3">
        <v>349335</v>
      </c>
      <c r="J714">
        <v>7336035</v>
      </c>
      <c r="K714" t="str">
        <f t="shared" si="11"/>
        <v>fevereiro</v>
      </c>
      <c r="L714" s="4">
        <v>43515</v>
      </c>
      <c r="M714" s="2">
        <v>0.63472222222222219</v>
      </c>
      <c r="N714" s="1" t="s">
        <v>23</v>
      </c>
      <c r="O714" s="3">
        <v>69867</v>
      </c>
      <c r="P714">
        <v>4761904762</v>
      </c>
      <c r="Q714" s="3">
        <v>349335</v>
      </c>
      <c r="R714">
        <v>72</v>
      </c>
      <c r="S714" s="3">
        <f>G714*SuperMarket_Analysis[[#This Row],[Quantity]]</f>
        <v>69867</v>
      </c>
    </row>
    <row r="715" spans="1:19" x14ac:dyDescent="0.25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3">
        <v>1385</v>
      </c>
      <c r="H715">
        <v>9</v>
      </c>
      <c r="I715" s="3">
        <v>62325</v>
      </c>
      <c r="J715">
        <v>1308825</v>
      </c>
      <c r="K715" t="str">
        <f t="shared" si="11"/>
        <v>fevereiro</v>
      </c>
      <c r="L715" s="4">
        <v>43500</v>
      </c>
      <c r="M715" s="2">
        <v>0.53472222222222221</v>
      </c>
      <c r="N715" s="1" t="s">
        <v>23</v>
      </c>
      <c r="O715" s="3">
        <v>12465</v>
      </c>
      <c r="P715">
        <v>4761904762</v>
      </c>
      <c r="Q715" s="3">
        <v>62325</v>
      </c>
      <c r="R715">
        <v>6</v>
      </c>
      <c r="S715" s="3">
        <f>G715*SuperMarket_Analysis[[#This Row],[Quantity]]</f>
        <v>12465</v>
      </c>
    </row>
    <row r="716" spans="1:19" x14ac:dyDescent="0.25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177</v>
      </c>
      <c r="F716" s="1" t="s">
        <v>45</v>
      </c>
      <c r="G716" s="3">
        <v>987</v>
      </c>
      <c r="H716">
        <v>8</v>
      </c>
      <c r="I716" s="3">
        <v>3948</v>
      </c>
      <c r="J716">
        <v>82908</v>
      </c>
      <c r="K716" t="str">
        <f t="shared" si="11"/>
        <v>janeiro</v>
      </c>
      <c r="L716" s="4">
        <v>43496</v>
      </c>
      <c r="M716" s="2">
        <v>0.44166666666666665</v>
      </c>
      <c r="N716" s="1" t="s">
        <v>23</v>
      </c>
      <c r="O716" s="3">
        <v>7896</v>
      </c>
      <c r="P716">
        <v>4761904762</v>
      </c>
      <c r="Q716" s="3">
        <v>3948</v>
      </c>
      <c r="R716">
        <v>85</v>
      </c>
      <c r="S716" s="3">
        <f>G716*SuperMarket_Analysis[[#This Row],[Quantity]]</f>
        <v>7896</v>
      </c>
    </row>
    <row r="717" spans="1:19" x14ac:dyDescent="0.25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3">
        <v>3568</v>
      </c>
      <c r="H717">
        <v>5</v>
      </c>
      <c r="I717" s="3">
        <v>892</v>
      </c>
      <c r="J717">
        <v>18732</v>
      </c>
      <c r="K717" t="str">
        <f t="shared" si="11"/>
        <v>fevereiro</v>
      </c>
      <c r="L717" s="4">
        <v>43502</v>
      </c>
      <c r="M717" s="2">
        <v>0.7729166666666667</v>
      </c>
      <c r="N717" s="1" t="s">
        <v>32</v>
      </c>
      <c r="O717" s="3">
        <v>1784</v>
      </c>
      <c r="P717">
        <v>4761904762</v>
      </c>
      <c r="Q717" s="3">
        <v>892</v>
      </c>
      <c r="R717">
        <v>66</v>
      </c>
      <c r="S717" s="3">
        <f>G717*SuperMarket_Analysis[[#This Row],[Quantity]]</f>
        <v>17840</v>
      </c>
    </row>
    <row r="718" spans="1:19" x14ac:dyDescent="0.25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45</v>
      </c>
      <c r="G718" s="3">
        <v>7146</v>
      </c>
      <c r="H718">
        <v>7</v>
      </c>
      <c r="I718" s="3">
        <v>25011</v>
      </c>
      <c r="J718">
        <v>525231</v>
      </c>
      <c r="K718" t="str">
        <f t="shared" si="11"/>
        <v>março</v>
      </c>
      <c r="L718" s="4">
        <v>43552</v>
      </c>
      <c r="M718" s="2">
        <v>0.67083333333333328</v>
      </c>
      <c r="N718" s="1" t="s">
        <v>23</v>
      </c>
      <c r="O718" s="3">
        <v>50022</v>
      </c>
      <c r="P718">
        <v>4761904762</v>
      </c>
      <c r="Q718" s="3">
        <v>25011</v>
      </c>
      <c r="R718">
        <v>45</v>
      </c>
      <c r="S718" s="3">
        <f>G718*SuperMarket_Analysis[[#This Row],[Quantity]]</f>
        <v>50022</v>
      </c>
    </row>
    <row r="719" spans="1:19" x14ac:dyDescent="0.25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177</v>
      </c>
      <c r="F719" s="1" t="s">
        <v>28</v>
      </c>
      <c r="G719" s="3">
        <v>1194</v>
      </c>
      <c r="H719">
        <v>3</v>
      </c>
      <c r="I719" s="3">
        <v>1791</v>
      </c>
      <c r="J719">
        <v>37611</v>
      </c>
      <c r="K719" t="str">
        <f t="shared" si="11"/>
        <v>janeiro</v>
      </c>
      <c r="L719" s="4">
        <v>43484</v>
      </c>
      <c r="M719" s="2">
        <v>0.53263888888888888</v>
      </c>
      <c r="N719" s="1" t="s">
        <v>32</v>
      </c>
      <c r="O719" s="3">
        <v>3582</v>
      </c>
      <c r="P719">
        <v>4761904762</v>
      </c>
      <c r="Q719" s="3">
        <v>1791</v>
      </c>
      <c r="R719">
        <v>81</v>
      </c>
      <c r="S719" s="3">
        <f>G719*SuperMarket_Analysis[[#This Row],[Quantity]]</f>
        <v>3582</v>
      </c>
    </row>
    <row r="720" spans="1:19" x14ac:dyDescent="0.25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177</v>
      </c>
      <c r="F720" s="1" t="s">
        <v>45</v>
      </c>
      <c r="G720" s="3">
        <v>4538</v>
      </c>
      <c r="H720">
        <v>3</v>
      </c>
      <c r="I720" s="3">
        <v>6807</v>
      </c>
      <c r="J720">
        <v>142947</v>
      </c>
      <c r="K720" t="str">
        <f t="shared" si="11"/>
        <v>fevereiro</v>
      </c>
      <c r="L720" s="4">
        <v>43513</v>
      </c>
      <c r="M720" s="2">
        <v>0.56527777777777777</v>
      </c>
      <c r="N720" s="1" t="s">
        <v>32</v>
      </c>
      <c r="O720" s="3">
        <v>13614</v>
      </c>
      <c r="P720">
        <v>4761904762</v>
      </c>
      <c r="Q720" s="3">
        <v>6807</v>
      </c>
      <c r="R720">
        <v>72</v>
      </c>
      <c r="S720" s="3">
        <f>G720*SuperMarket_Analysis[[#This Row],[Quantity]]</f>
        <v>13614</v>
      </c>
    </row>
    <row r="721" spans="1:19" x14ac:dyDescent="0.25">
      <c r="A721" s="1" t="s">
        <v>755</v>
      </c>
      <c r="B721" s="1" t="s">
        <v>41</v>
      </c>
      <c r="C721" s="1" t="s">
        <v>42</v>
      </c>
      <c r="D721" s="1" t="s">
        <v>20</v>
      </c>
      <c r="E721" s="1" t="s">
        <v>21</v>
      </c>
      <c r="F721" s="1" t="s">
        <v>45</v>
      </c>
      <c r="G721" s="3">
        <v>1748</v>
      </c>
      <c r="H721">
        <v>6</v>
      </c>
      <c r="I721" s="3">
        <v>5244</v>
      </c>
      <c r="J721">
        <v>110124</v>
      </c>
      <c r="K721" t="str">
        <f t="shared" si="11"/>
        <v>janeiro</v>
      </c>
      <c r="L721" s="4">
        <v>43483</v>
      </c>
      <c r="M721" s="2">
        <v>0.62777777777777777</v>
      </c>
      <c r="N721" s="1" t="s">
        <v>32</v>
      </c>
      <c r="O721" s="3">
        <v>10488</v>
      </c>
      <c r="P721">
        <v>4761904762</v>
      </c>
      <c r="Q721" s="3">
        <v>5244</v>
      </c>
      <c r="R721">
        <v>61</v>
      </c>
      <c r="S721" s="3">
        <f>G721*SuperMarket_Analysis[[#This Row],[Quantity]]</f>
        <v>10488</v>
      </c>
    </row>
    <row r="722" spans="1:19" x14ac:dyDescent="0.25">
      <c r="A722" s="1" t="s">
        <v>756</v>
      </c>
      <c r="B722" s="1" t="s">
        <v>41</v>
      </c>
      <c r="C722" s="1" t="s">
        <v>42</v>
      </c>
      <c r="D722" s="1" t="s">
        <v>27</v>
      </c>
      <c r="E722" s="1" t="s">
        <v>21</v>
      </c>
      <c r="F722" s="1" t="s">
        <v>45</v>
      </c>
      <c r="G722" s="3">
        <v>2556</v>
      </c>
      <c r="H722">
        <v>7</v>
      </c>
      <c r="I722" s="3">
        <v>8946</v>
      </c>
      <c r="J722">
        <v>187866</v>
      </c>
      <c r="K722" t="str">
        <f t="shared" si="11"/>
        <v>fevereiro</v>
      </c>
      <c r="L722" s="4">
        <v>43498</v>
      </c>
      <c r="M722" s="2">
        <v>0.86250000000000004</v>
      </c>
      <c r="N722" s="1" t="s">
        <v>29</v>
      </c>
      <c r="O722" s="3">
        <v>17892</v>
      </c>
      <c r="P722">
        <v>4761904762</v>
      </c>
      <c r="Q722" s="3">
        <v>8946</v>
      </c>
      <c r="R722">
        <v>71</v>
      </c>
      <c r="S722" s="3">
        <f>G722*SuperMarket_Analysis[[#This Row],[Quantity]]</f>
        <v>17892</v>
      </c>
    </row>
    <row r="723" spans="1:19" x14ac:dyDescent="0.25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35</v>
      </c>
      <c r="G723" s="3">
        <v>9063</v>
      </c>
      <c r="H723">
        <v>9</v>
      </c>
      <c r="I723" s="3">
        <v>407835</v>
      </c>
      <c r="J723">
        <v>8564535</v>
      </c>
      <c r="K723" t="str">
        <f t="shared" si="11"/>
        <v>janeiro</v>
      </c>
      <c r="L723" s="4">
        <v>43483</v>
      </c>
      <c r="M723" s="2">
        <v>0.64444444444444449</v>
      </c>
      <c r="N723" s="1" t="s">
        <v>29</v>
      </c>
      <c r="O723" s="3">
        <v>81567</v>
      </c>
      <c r="P723">
        <v>4761904762</v>
      </c>
      <c r="Q723" s="3">
        <v>407835</v>
      </c>
      <c r="R723">
        <v>51</v>
      </c>
      <c r="S723" s="3">
        <f>G723*SuperMarket_Analysis[[#This Row],[Quantity]]</f>
        <v>81567</v>
      </c>
    </row>
    <row r="724" spans="1:19" x14ac:dyDescent="0.25">
      <c r="A724" s="1" t="s">
        <v>758</v>
      </c>
      <c r="B724" s="1" t="s">
        <v>41</v>
      </c>
      <c r="C724" s="1" t="s">
        <v>42</v>
      </c>
      <c r="D724" s="1" t="s">
        <v>27</v>
      </c>
      <c r="E724" s="1" t="s">
        <v>177</v>
      </c>
      <c r="F724" s="1" t="s">
        <v>31</v>
      </c>
      <c r="G724" s="3">
        <v>4412</v>
      </c>
      <c r="H724">
        <v>3</v>
      </c>
      <c r="I724" s="3">
        <v>6618</v>
      </c>
      <c r="J724">
        <v>138978</v>
      </c>
      <c r="K724" t="str">
        <f t="shared" si="11"/>
        <v>março</v>
      </c>
      <c r="L724" s="4">
        <v>43542</v>
      </c>
      <c r="M724" s="2">
        <v>0.57291666666666663</v>
      </c>
      <c r="N724" s="1" t="s">
        <v>32</v>
      </c>
      <c r="O724" s="3">
        <v>13236</v>
      </c>
      <c r="P724">
        <v>4761904762</v>
      </c>
      <c r="Q724" s="3">
        <v>6618</v>
      </c>
      <c r="R724">
        <v>79</v>
      </c>
      <c r="S724" s="3">
        <f>G724*SuperMarket_Analysis[[#This Row],[Quantity]]</f>
        <v>13236</v>
      </c>
    </row>
    <row r="725" spans="1:19" x14ac:dyDescent="0.25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43</v>
      </c>
      <c r="G725" s="3">
        <v>3677</v>
      </c>
      <c r="H725">
        <v>7</v>
      </c>
      <c r="I725" s="3">
        <v>128695</v>
      </c>
      <c r="J725">
        <v>2702595</v>
      </c>
      <c r="K725" t="str">
        <f t="shared" si="11"/>
        <v>janeiro</v>
      </c>
      <c r="L725" s="4">
        <v>43476</v>
      </c>
      <c r="M725" s="2">
        <v>0.84027777777777779</v>
      </c>
      <c r="N725" s="1" t="s">
        <v>29</v>
      </c>
      <c r="O725" s="3">
        <v>25739</v>
      </c>
      <c r="P725">
        <v>4761904762</v>
      </c>
      <c r="Q725" s="3">
        <v>128695</v>
      </c>
      <c r="R725">
        <v>74</v>
      </c>
      <c r="S725" s="3">
        <f>G725*SuperMarket_Analysis[[#This Row],[Quantity]]</f>
        <v>25739</v>
      </c>
    </row>
    <row r="726" spans="1:19" x14ac:dyDescent="0.25">
      <c r="A726" s="1" t="s">
        <v>760</v>
      </c>
      <c r="B726" s="1" t="s">
        <v>41</v>
      </c>
      <c r="C726" s="1" t="s">
        <v>42</v>
      </c>
      <c r="D726" s="1" t="s">
        <v>20</v>
      </c>
      <c r="E726" s="1" t="s">
        <v>177</v>
      </c>
      <c r="F726" s="1" t="s">
        <v>43</v>
      </c>
      <c r="G726" s="3">
        <v>2334</v>
      </c>
      <c r="H726">
        <v>4</v>
      </c>
      <c r="I726" s="3">
        <v>4668</v>
      </c>
      <c r="J726">
        <v>98028</v>
      </c>
      <c r="K726" t="str">
        <f t="shared" si="11"/>
        <v>fevereiro</v>
      </c>
      <c r="L726" s="4">
        <v>43500</v>
      </c>
      <c r="M726" s="2">
        <v>0.78680555555555554</v>
      </c>
      <c r="N726" s="1" t="s">
        <v>23</v>
      </c>
      <c r="O726" s="3">
        <v>9336</v>
      </c>
      <c r="P726">
        <v>4761904762</v>
      </c>
      <c r="Q726" s="3">
        <v>4668</v>
      </c>
      <c r="R726">
        <v>74</v>
      </c>
      <c r="S726" s="3">
        <f>G726*SuperMarket_Analysis[[#This Row],[Quantity]]</f>
        <v>9336</v>
      </c>
    </row>
    <row r="727" spans="1:19" x14ac:dyDescent="0.25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3">
        <v>285</v>
      </c>
      <c r="H727">
        <v>8</v>
      </c>
      <c r="I727" s="3">
        <v>114</v>
      </c>
      <c r="J727">
        <v>2394</v>
      </c>
      <c r="K727" t="str">
        <f t="shared" si="11"/>
        <v>fevereiro</v>
      </c>
      <c r="L727" s="4">
        <v>43502</v>
      </c>
      <c r="M727" s="2">
        <v>0.6</v>
      </c>
      <c r="N727" s="1" t="s">
        <v>29</v>
      </c>
      <c r="O727" s="3">
        <v>228</v>
      </c>
      <c r="P727">
        <v>4761904762</v>
      </c>
      <c r="Q727" s="3">
        <v>114</v>
      </c>
      <c r="R727">
        <v>66</v>
      </c>
      <c r="S727" s="3">
        <f>G727*SuperMarket_Analysis[[#This Row],[Quantity]]</f>
        <v>2280</v>
      </c>
    </row>
    <row r="728" spans="1:19" x14ac:dyDescent="0.25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177</v>
      </c>
      <c r="F728" s="1" t="s">
        <v>31</v>
      </c>
      <c r="G728" s="3">
        <v>5557</v>
      </c>
      <c r="H728">
        <v>3</v>
      </c>
      <c r="I728" s="3">
        <v>83355</v>
      </c>
      <c r="J728">
        <v>1750455</v>
      </c>
      <c r="K728" t="str">
        <f t="shared" si="11"/>
        <v>janeiro</v>
      </c>
      <c r="L728" s="4">
        <v>43473</v>
      </c>
      <c r="M728" s="2">
        <v>0.48749999999999999</v>
      </c>
      <c r="N728" s="1" t="s">
        <v>32</v>
      </c>
      <c r="O728" s="3">
        <v>16671</v>
      </c>
      <c r="P728">
        <v>4761904762</v>
      </c>
      <c r="Q728" s="3">
        <v>83355</v>
      </c>
      <c r="R728">
        <v>59</v>
      </c>
      <c r="S728" s="3">
        <f>G728*SuperMarket_Analysis[[#This Row],[Quantity]]</f>
        <v>16671</v>
      </c>
    </row>
    <row r="729" spans="1:19" x14ac:dyDescent="0.25">
      <c r="A729" s="1" t="s">
        <v>763</v>
      </c>
      <c r="B729" s="1" t="s">
        <v>41</v>
      </c>
      <c r="C729" s="1" t="s">
        <v>42</v>
      </c>
      <c r="D729" s="1" t="s">
        <v>27</v>
      </c>
      <c r="E729" s="1" t="s">
        <v>177</v>
      </c>
      <c r="F729" s="1" t="s">
        <v>35</v>
      </c>
      <c r="G729" s="3">
        <v>6974</v>
      </c>
      <c r="H729">
        <v>10</v>
      </c>
      <c r="I729" s="3">
        <v>3487</v>
      </c>
      <c r="J729">
        <v>73227</v>
      </c>
      <c r="K729" t="str">
        <f t="shared" si="11"/>
        <v>março</v>
      </c>
      <c r="L729" s="4">
        <v>43529</v>
      </c>
      <c r="M729" s="2">
        <v>0.74236111111111114</v>
      </c>
      <c r="N729" s="1" t="s">
        <v>32</v>
      </c>
      <c r="O729" s="3">
        <v>6974</v>
      </c>
      <c r="P729">
        <v>4761904762</v>
      </c>
      <c r="Q729" s="3">
        <v>3487</v>
      </c>
      <c r="R729">
        <v>89</v>
      </c>
      <c r="S729" s="3">
        <f>G729*SuperMarket_Analysis[[#This Row],[Quantity]]</f>
        <v>69740</v>
      </c>
    </row>
    <row r="730" spans="1:19" x14ac:dyDescent="0.25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177</v>
      </c>
      <c r="F730" s="1" t="s">
        <v>45</v>
      </c>
      <c r="G730" s="3">
        <v>9726</v>
      </c>
      <c r="H730">
        <v>4</v>
      </c>
      <c r="I730" s="3">
        <v>19452</v>
      </c>
      <c r="J730">
        <v>408492</v>
      </c>
      <c r="K730" t="str">
        <f t="shared" si="11"/>
        <v>março</v>
      </c>
      <c r="L730" s="4">
        <v>43540</v>
      </c>
      <c r="M730" s="2">
        <v>0.6479166666666667</v>
      </c>
      <c r="N730" s="1" t="s">
        <v>23</v>
      </c>
      <c r="O730" s="3">
        <v>38904</v>
      </c>
      <c r="P730">
        <v>4761904762</v>
      </c>
      <c r="Q730" s="3">
        <v>19452</v>
      </c>
      <c r="R730">
        <v>68</v>
      </c>
      <c r="S730" s="3">
        <f>G730*SuperMarket_Analysis[[#This Row],[Quantity]]</f>
        <v>38904</v>
      </c>
    </row>
    <row r="731" spans="1:19" x14ac:dyDescent="0.25">
      <c r="A731" s="1" t="s">
        <v>765</v>
      </c>
      <c r="B731" s="1" t="s">
        <v>41</v>
      </c>
      <c r="C731" s="1" t="s">
        <v>42</v>
      </c>
      <c r="D731" s="1" t="s">
        <v>20</v>
      </c>
      <c r="E731" s="1" t="s">
        <v>21</v>
      </c>
      <c r="F731" s="1" t="s">
        <v>31</v>
      </c>
      <c r="G731" s="3">
        <v>5218</v>
      </c>
      <c r="H731">
        <v>7</v>
      </c>
      <c r="I731" s="3">
        <v>18263</v>
      </c>
      <c r="J731">
        <v>383523</v>
      </c>
      <c r="K731" t="str">
        <f t="shared" si="11"/>
        <v>março</v>
      </c>
      <c r="L731" s="4">
        <v>43533</v>
      </c>
      <c r="M731" s="2">
        <v>0.45416666666666666</v>
      </c>
      <c r="N731" s="1" t="s">
        <v>29</v>
      </c>
      <c r="O731" s="3">
        <v>36526</v>
      </c>
      <c r="P731">
        <v>4761904762</v>
      </c>
      <c r="Q731" s="3">
        <v>18263</v>
      </c>
      <c r="R731">
        <v>93</v>
      </c>
      <c r="S731" s="3">
        <f>G731*SuperMarket_Analysis[[#This Row],[Quantity]]</f>
        <v>36526</v>
      </c>
    </row>
    <row r="732" spans="1:19" x14ac:dyDescent="0.25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45</v>
      </c>
      <c r="G732" s="3">
        <v>2232</v>
      </c>
      <c r="H732">
        <v>4</v>
      </c>
      <c r="I732" s="3">
        <v>4464</v>
      </c>
      <c r="J732">
        <v>93744</v>
      </c>
      <c r="K732" t="str">
        <f t="shared" si="11"/>
        <v>março</v>
      </c>
      <c r="L732" s="4">
        <v>43525</v>
      </c>
      <c r="M732" s="2">
        <v>0.68263888888888891</v>
      </c>
      <c r="N732" s="1" t="s">
        <v>32</v>
      </c>
      <c r="O732" s="3">
        <v>8928</v>
      </c>
      <c r="P732">
        <v>4761904762</v>
      </c>
      <c r="Q732" s="3">
        <v>4464</v>
      </c>
      <c r="R732">
        <v>44</v>
      </c>
      <c r="S732" s="3">
        <f>G732*SuperMarket_Analysis[[#This Row],[Quantity]]</f>
        <v>8928</v>
      </c>
    </row>
    <row r="733" spans="1:19" x14ac:dyDescent="0.25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177</v>
      </c>
      <c r="F733" s="1" t="s">
        <v>22</v>
      </c>
      <c r="G733" s="3">
        <v>56</v>
      </c>
      <c r="H733">
        <v>3</v>
      </c>
      <c r="I733" s="3">
        <v>84</v>
      </c>
      <c r="J733">
        <v>1764</v>
      </c>
      <c r="K733" t="str">
        <f t="shared" si="11"/>
        <v>fevereiro</v>
      </c>
      <c r="L733" s="4">
        <v>43524</v>
      </c>
      <c r="M733" s="2">
        <v>0.81458333333333333</v>
      </c>
      <c r="N733" s="1" t="s">
        <v>23</v>
      </c>
      <c r="O733" s="3">
        <v>168</v>
      </c>
      <c r="P733">
        <v>4761904762</v>
      </c>
      <c r="Q733" s="3">
        <v>84</v>
      </c>
      <c r="R733">
        <v>48</v>
      </c>
      <c r="S733" s="3">
        <f>G733*SuperMarket_Analysis[[#This Row],[Quantity]]</f>
        <v>168</v>
      </c>
    </row>
    <row r="734" spans="1:19" x14ac:dyDescent="0.25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177</v>
      </c>
      <c r="F734" s="1" t="s">
        <v>45</v>
      </c>
      <c r="G734" s="3">
        <v>197</v>
      </c>
      <c r="H734">
        <v>1</v>
      </c>
      <c r="I734" s="3">
        <v>985</v>
      </c>
      <c r="J734">
        <v>20685</v>
      </c>
      <c r="K734" t="str">
        <f t="shared" si="11"/>
        <v>fevereiro</v>
      </c>
      <c r="L734" s="4">
        <v>43504</v>
      </c>
      <c r="M734" s="2">
        <v>0.48541666666666666</v>
      </c>
      <c r="N734" s="1" t="s">
        <v>23</v>
      </c>
      <c r="O734" s="3">
        <v>197</v>
      </c>
      <c r="P734">
        <v>4761904762</v>
      </c>
      <c r="Q734" s="3">
        <v>985</v>
      </c>
      <c r="R734">
        <v>95</v>
      </c>
      <c r="S734" s="3">
        <f>G734*SuperMarket_Analysis[[#This Row],[Quantity]]</f>
        <v>197</v>
      </c>
    </row>
    <row r="735" spans="1:19" x14ac:dyDescent="0.25">
      <c r="A735" s="1" t="s">
        <v>769</v>
      </c>
      <c r="B735" s="1" t="s">
        <v>41</v>
      </c>
      <c r="C735" s="1" t="s">
        <v>42</v>
      </c>
      <c r="D735" s="1" t="s">
        <v>27</v>
      </c>
      <c r="E735" s="1" t="s">
        <v>177</v>
      </c>
      <c r="F735" s="1" t="s">
        <v>28</v>
      </c>
      <c r="G735" s="3">
        <v>7588</v>
      </c>
      <c r="H735">
        <v>7</v>
      </c>
      <c r="I735" s="3">
        <v>26558</v>
      </c>
      <c r="J735">
        <v>557718</v>
      </c>
      <c r="K735" t="str">
        <f t="shared" si="11"/>
        <v>janeiro</v>
      </c>
      <c r="L735" s="4">
        <v>43489</v>
      </c>
      <c r="M735" s="2">
        <v>0.44305555555555554</v>
      </c>
      <c r="N735" s="1" t="s">
        <v>23</v>
      </c>
      <c r="O735" s="3">
        <v>53116</v>
      </c>
      <c r="P735">
        <v>4761904762</v>
      </c>
      <c r="Q735" s="3">
        <v>26558</v>
      </c>
      <c r="R735">
        <v>89</v>
      </c>
      <c r="S735" s="3">
        <f>G735*SuperMarket_Analysis[[#This Row],[Quantity]]</f>
        <v>53116</v>
      </c>
    </row>
    <row r="736" spans="1:19" x14ac:dyDescent="0.25">
      <c r="A736" s="1" t="s">
        <v>770</v>
      </c>
      <c r="B736" s="1" t="s">
        <v>41</v>
      </c>
      <c r="C736" s="1" t="s">
        <v>42</v>
      </c>
      <c r="D736" s="1" t="s">
        <v>20</v>
      </c>
      <c r="E736" s="1" t="s">
        <v>177</v>
      </c>
      <c r="F736" s="1" t="s">
        <v>43</v>
      </c>
      <c r="G736" s="3">
        <v>5372</v>
      </c>
      <c r="H736">
        <v>1</v>
      </c>
      <c r="I736" s="3">
        <v>2686</v>
      </c>
      <c r="J736">
        <v>56406</v>
      </c>
      <c r="K736" t="str">
        <f t="shared" si="11"/>
        <v>março</v>
      </c>
      <c r="L736" s="4">
        <v>43525</v>
      </c>
      <c r="M736" s="2">
        <v>0.8354166666666667</v>
      </c>
      <c r="N736" s="1" t="s">
        <v>23</v>
      </c>
      <c r="O736" s="3">
        <v>5372</v>
      </c>
      <c r="P736">
        <v>4761904762</v>
      </c>
      <c r="Q736" s="3">
        <v>2686</v>
      </c>
      <c r="R736">
        <v>64</v>
      </c>
      <c r="S736" s="3">
        <f>G736*SuperMarket_Analysis[[#This Row],[Quantity]]</f>
        <v>5372</v>
      </c>
    </row>
    <row r="737" spans="1:19" x14ac:dyDescent="0.25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177</v>
      </c>
      <c r="F737" s="1" t="s">
        <v>22</v>
      </c>
      <c r="G737" s="3">
        <v>8195</v>
      </c>
      <c r="H737">
        <v>10</v>
      </c>
      <c r="I737" s="3">
        <v>40975</v>
      </c>
      <c r="J737">
        <v>860475</v>
      </c>
      <c r="K737" t="str">
        <f t="shared" si="11"/>
        <v>março</v>
      </c>
      <c r="L737" s="4">
        <v>43534</v>
      </c>
      <c r="M737" s="2">
        <v>0.52708333333333335</v>
      </c>
      <c r="N737" s="1" t="s">
        <v>32</v>
      </c>
      <c r="O737" s="3">
        <v>8195</v>
      </c>
      <c r="P737">
        <v>4761904762</v>
      </c>
      <c r="Q737" s="3">
        <v>40975</v>
      </c>
      <c r="R737">
        <v>6</v>
      </c>
      <c r="S737" s="3">
        <f>G737*SuperMarket_Analysis[[#This Row],[Quantity]]</f>
        <v>81950</v>
      </c>
    </row>
    <row r="738" spans="1:19" x14ac:dyDescent="0.25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3">
        <v>812</v>
      </c>
      <c r="H738">
        <v>7</v>
      </c>
      <c r="I738" s="3">
        <v>2842</v>
      </c>
      <c r="J738">
        <v>59682</v>
      </c>
      <c r="K738" t="str">
        <f t="shared" si="11"/>
        <v>março</v>
      </c>
      <c r="L738" s="4">
        <v>43547</v>
      </c>
      <c r="M738" s="2">
        <v>0.66597222222222219</v>
      </c>
      <c r="N738" s="1" t="s">
        <v>32</v>
      </c>
      <c r="O738" s="3">
        <v>5684</v>
      </c>
      <c r="P738">
        <v>4761904762</v>
      </c>
      <c r="Q738" s="3">
        <v>2842</v>
      </c>
      <c r="R738">
        <v>81</v>
      </c>
      <c r="S738" s="3">
        <f>G738*SuperMarket_Analysis[[#This Row],[Quantity]]</f>
        <v>5684</v>
      </c>
    </row>
    <row r="739" spans="1:19" x14ac:dyDescent="0.25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177</v>
      </c>
      <c r="F739" s="1" t="s">
        <v>28</v>
      </c>
      <c r="G739" s="3">
        <v>5876</v>
      </c>
      <c r="H739">
        <v>10</v>
      </c>
      <c r="I739" s="3">
        <v>2938</v>
      </c>
      <c r="J739">
        <v>61698</v>
      </c>
      <c r="K739" t="str">
        <f t="shared" si="11"/>
        <v>janeiro</v>
      </c>
      <c r="L739" s="4">
        <v>43494</v>
      </c>
      <c r="M739" s="2">
        <v>0.60138888888888886</v>
      </c>
      <c r="N739" s="1" t="s">
        <v>23</v>
      </c>
      <c r="O739" s="3">
        <v>5876</v>
      </c>
      <c r="P739">
        <v>4761904762</v>
      </c>
      <c r="Q739" s="3">
        <v>2938</v>
      </c>
      <c r="R739">
        <v>9</v>
      </c>
      <c r="S739" s="3">
        <f>G739*SuperMarket_Analysis[[#This Row],[Quantity]]</f>
        <v>58760</v>
      </c>
    </row>
    <row r="740" spans="1:19" x14ac:dyDescent="0.25">
      <c r="A740" s="1" t="s">
        <v>774</v>
      </c>
      <c r="B740" s="1" t="s">
        <v>41</v>
      </c>
      <c r="C740" s="1" t="s">
        <v>42</v>
      </c>
      <c r="D740" s="1" t="s">
        <v>20</v>
      </c>
      <c r="E740" s="1" t="s">
        <v>177</v>
      </c>
      <c r="F740" s="1" t="s">
        <v>28</v>
      </c>
      <c r="G740" s="3">
        <v>9156</v>
      </c>
      <c r="H740">
        <v>8</v>
      </c>
      <c r="I740" s="3">
        <v>36624</v>
      </c>
      <c r="J740">
        <v>769104</v>
      </c>
      <c r="K740" t="str">
        <f t="shared" si="11"/>
        <v>janeiro</v>
      </c>
      <c r="L740" s="4">
        <v>43477</v>
      </c>
      <c r="M740" s="2">
        <v>0.76527777777777772</v>
      </c>
      <c r="N740" s="1" t="s">
        <v>23</v>
      </c>
      <c r="O740" s="3">
        <v>73248</v>
      </c>
      <c r="P740">
        <v>4761904762</v>
      </c>
      <c r="Q740" s="3">
        <v>36624</v>
      </c>
      <c r="R740">
        <v>6</v>
      </c>
      <c r="S740" s="3">
        <f>G740*SuperMarket_Analysis[[#This Row],[Quantity]]</f>
        <v>73248</v>
      </c>
    </row>
    <row r="741" spans="1:19" x14ac:dyDescent="0.25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177</v>
      </c>
      <c r="F741" s="1" t="s">
        <v>31</v>
      </c>
      <c r="G741" s="3">
        <v>9396</v>
      </c>
      <c r="H741">
        <v>9</v>
      </c>
      <c r="I741" s="3">
        <v>42282</v>
      </c>
      <c r="J741">
        <v>887922</v>
      </c>
      <c r="K741" t="str">
        <f t="shared" si="11"/>
        <v>março</v>
      </c>
      <c r="L741" s="4">
        <v>43544</v>
      </c>
      <c r="M741" s="2">
        <v>0.48055555555555557</v>
      </c>
      <c r="N741" s="1" t="s">
        <v>29</v>
      </c>
      <c r="O741" s="3">
        <v>84564</v>
      </c>
      <c r="P741">
        <v>4761904762</v>
      </c>
      <c r="Q741" s="3">
        <v>42282</v>
      </c>
      <c r="R741">
        <v>98</v>
      </c>
      <c r="S741" s="3">
        <f>G741*SuperMarket_Analysis[[#This Row],[Quantity]]</f>
        <v>84564</v>
      </c>
    </row>
    <row r="742" spans="1:19" x14ac:dyDescent="0.25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177</v>
      </c>
      <c r="F742" s="1" t="s">
        <v>31</v>
      </c>
      <c r="G742" s="3">
        <v>5561</v>
      </c>
      <c r="H742">
        <v>7</v>
      </c>
      <c r="I742" s="3">
        <v>194635</v>
      </c>
      <c r="J742">
        <v>4087335</v>
      </c>
      <c r="K742" t="str">
        <f t="shared" si="11"/>
        <v>março</v>
      </c>
      <c r="L742" s="4">
        <v>43547</v>
      </c>
      <c r="M742" s="2">
        <v>0.52847222222222223</v>
      </c>
      <c r="N742" s="1" t="s">
        <v>29</v>
      </c>
      <c r="O742" s="3">
        <v>38927</v>
      </c>
      <c r="P742">
        <v>4761904762</v>
      </c>
      <c r="Q742" s="3">
        <v>194635</v>
      </c>
      <c r="R742">
        <v>85</v>
      </c>
      <c r="S742" s="3">
        <f>G742*SuperMarket_Analysis[[#This Row],[Quantity]]</f>
        <v>38927</v>
      </c>
    </row>
    <row r="743" spans="1:19" x14ac:dyDescent="0.25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177</v>
      </c>
      <c r="F743" s="1" t="s">
        <v>43</v>
      </c>
      <c r="G743" s="3">
        <v>8483</v>
      </c>
      <c r="H743">
        <v>1</v>
      </c>
      <c r="I743" s="3">
        <v>42415</v>
      </c>
      <c r="J743">
        <v>890715</v>
      </c>
      <c r="K743" t="str">
        <f t="shared" si="11"/>
        <v>janeiro</v>
      </c>
      <c r="L743" s="4">
        <v>43479</v>
      </c>
      <c r="M743" s="2">
        <v>0.63888888888888884</v>
      </c>
      <c r="N743" s="1" t="s">
        <v>23</v>
      </c>
      <c r="O743" s="3">
        <v>8483</v>
      </c>
      <c r="P743">
        <v>4761904762</v>
      </c>
      <c r="Q743" s="3">
        <v>42415</v>
      </c>
      <c r="R743">
        <v>88</v>
      </c>
      <c r="S743" s="3">
        <f>G743*SuperMarket_Analysis[[#This Row],[Quantity]]</f>
        <v>8483</v>
      </c>
    </row>
    <row r="744" spans="1:19" x14ac:dyDescent="0.25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35</v>
      </c>
      <c r="G744" s="3">
        <v>7163</v>
      </c>
      <c r="H744">
        <v>2</v>
      </c>
      <c r="I744" s="3">
        <v>7163</v>
      </c>
      <c r="J744">
        <v>150423</v>
      </c>
      <c r="K744" t="str">
        <f t="shared" si="11"/>
        <v>fevereiro</v>
      </c>
      <c r="L744" s="4">
        <v>43508</v>
      </c>
      <c r="M744" s="2">
        <v>0.60624999999999996</v>
      </c>
      <c r="N744" s="1" t="s">
        <v>23</v>
      </c>
      <c r="O744" s="3">
        <v>14326</v>
      </c>
      <c r="P744">
        <v>4761904762</v>
      </c>
      <c r="Q744" s="3">
        <v>7163</v>
      </c>
      <c r="R744">
        <v>88</v>
      </c>
      <c r="S744" s="3">
        <f>G744*SuperMarket_Analysis[[#This Row],[Quantity]]</f>
        <v>14326</v>
      </c>
    </row>
    <row r="745" spans="1:19" x14ac:dyDescent="0.25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177</v>
      </c>
      <c r="F745" s="1" t="s">
        <v>31</v>
      </c>
      <c r="G745" s="3">
        <v>3769</v>
      </c>
      <c r="H745">
        <v>2</v>
      </c>
      <c r="I745" s="3">
        <v>3769</v>
      </c>
      <c r="J745">
        <v>79149</v>
      </c>
      <c r="K745" t="str">
        <f t="shared" si="11"/>
        <v>fevereiro</v>
      </c>
      <c r="L745" s="4">
        <v>43516</v>
      </c>
      <c r="M745" s="2">
        <v>0.64513888888888893</v>
      </c>
      <c r="N745" s="1" t="s">
        <v>23</v>
      </c>
      <c r="O745" s="3">
        <v>7538</v>
      </c>
      <c r="P745">
        <v>4761904762</v>
      </c>
      <c r="Q745" s="3">
        <v>3769</v>
      </c>
      <c r="R745">
        <v>95</v>
      </c>
      <c r="S745" s="3">
        <f>G745*SuperMarket_Analysis[[#This Row],[Quantity]]</f>
        <v>7538</v>
      </c>
    </row>
    <row r="746" spans="1:19" x14ac:dyDescent="0.25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35</v>
      </c>
      <c r="G746" s="3">
        <v>3167</v>
      </c>
      <c r="H746">
        <v>8</v>
      </c>
      <c r="I746" s="3">
        <v>12668</v>
      </c>
      <c r="J746">
        <v>266028</v>
      </c>
      <c r="K746" t="str">
        <f t="shared" si="11"/>
        <v>janeiro</v>
      </c>
      <c r="L746" s="4">
        <v>43467</v>
      </c>
      <c r="M746" s="2">
        <v>0.67986111111111114</v>
      </c>
      <c r="N746" s="1" t="s">
        <v>32</v>
      </c>
      <c r="O746" s="3">
        <v>25336</v>
      </c>
      <c r="P746">
        <v>4761904762</v>
      </c>
      <c r="Q746" s="3">
        <v>12668</v>
      </c>
      <c r="R746">
        <v>56</v>
      </c>
      <c r="S746" s="3">
        <f>G746*SuperMarket_Analysis[[#This Row],[Quantity]]</f>
        <v>25336</v>
      </c>
    </row>
    <row r="747" spans="1:19" x14ac:dyDescent="0.25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43</v>
      </c>
      <c r="G747" s="3">
        <v>3842</v>
      </c>
      <c r="H747">
        <v>1</v>
      </c>
      <c r="I747" s="3">
        <v>1921</v>
      </c>
      <c r="J747">
        <v>40341</v>
      </c>
      <c r="K747" t="str">
        <f t="shared" si="11"/>
        <v>fevereiro</v>
      </c>
      <c r="L747" s="4">
        <v>43498</v>
      </c>
      <c r="M747" s="2">
        <v>0.68958333333333333</v>
      </c>
      <c r="N747" s="1" t="s">
        <v>29</v>
      </c>
      <c r="O747" s="3">
        <v>3842</v>
      </c>
      <c r="P747">
        <v>4761904762</v>
      </c>
      <c r="Q747" s="3">
        <v>1921</v>
      </c>
      <c r="R747">
        <v>86</v>
      </c>
      <c r="S747" s="3">
        <f>G747*SuperMarket_Analysis[[#This Row],[Quantity]]</f>
        <v>3842</v>
      </c>
    </row>
    <row r="748" spans="1:19" x14ac:dyDescent="0.25">
      <c r="A748" s="1" t="s">
        <v>782</v>
      </c>
      <c r="B748" s="1" t="s">
        <v>41</v>
      </c>
      <c r="C748" s="1" t="s">
        <v>42</v>
      </c>
      <c r="D748" s="1" t="s">
        <v>20</v>
      </c>
      <c r="E748" s="1" t="s">
        <v>177</v>
      </c>
      <c r="F748" s="1" t="s">
        <v>45</v>
      </c>
      <c r="G748" s="3">
        <v>6523</v>
      </c>
      <c r="H748">
        <v>10</v>
      </c>
      <c r="I748" s="3">
        <v>32615</v>
      </c>
      <c r="J748">
        <v>684915</v>
      </c>
      <c r="K748" t="str">
        <f t="shared" si="11"/>
        <v>janeiro</v>
      </c>
      <c r="L748" s="4">
        <v>43473</v>
      </c>
      <c r="M748" s="2">
        <v>0.79652777777777772</v>
      </c>
      <c r="N748" s="1" t="s">
        <v>32</v>
      </c>
      <c r="O748" s="3">
        <v>6523</v>
      </c>
      <c r="P748">
        <v>4761904762</v>
      </c>
      <c r="Q748" s="3">
        <v>32615</v>
      </c>
      <c r="R748">
        <v>52</v>
      </c>
      <c r="S748" s="3">
        <f>G748*SuperMarket_Analysis[[#This Row],[Quantity]]</f>
        <v>65230</v>
      </c>
    </row>
    <row r="749" spans="1:19" x14ac:dyDescent="0.25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3">
        <v>1053</v>
      </c>
      <c r="H749">
        <v>5</v>
      </c>
      <c r="I749" s="3">
        <v>26325</v>
      </c>
      <c r="J749">
        <v>552825</v>
      </c>
      <c r="K749" t="str">
        <f t="shared" si="11"/>
        <v>janeiro</v>
      </c>
      <c r="L749" s="4">
        <v>43495</v>
      </c>
      <c r="M749" s="2">
        <v>0.61319444444444449</v>
      </c>
      <c r="N749" s="1" t="s">
        <v>32</v>
      </c>
      <c r="O749" s="3">
        <v>5265</v>
      </c>
      <c r="P749">
        <v>4761904762</v>
      </c>
      <c r="Q749" s="3">
        <v>26325</v>
      </c>
      <c r="R749">
        <v>58</v>
      </c>
      <c r="S749" s="3">
        <f>G749*SuperMarket_Analysis[[#This Row],[Quantity]]</f>
        <v>5265</v>
      </c>
    </row>
    <row r="750" spans="1:19" x14ac:dyDescent="0.25">
      <c r="A750" s="1" t="s">
        <v>784</v>
      </c>
      <c r="B750" s="1" t="s">
        <v>41</v>
      </c>
      <c r="C750" s="1" t="s">
        <v>42</v>
      </c>
      <c r="D750" s="1" t="s">
        <v>20</v>
      </c>
      <c r="E750" s="1" t="s">
        <v>21</v>
      </c>
      <c r="F750" s="1" t="s">
        <v>31</v>
      </c>
      <c r="G750" s="3">
        <v>1229</v>
      </c>
      <c r="H750">
        <v>9</v>
      </c>
      <c r="I750" s="3">
        <v>55305</v>
      </c>
      <c r="J750">
        <v>1161405</v>
      </c>
      <c r="K750" t="str">
        <f t="shared" si="11"/>
        <v>março</v>
      </c>
      <c r="L750" s="4">
        <v>43550</v>
      </c>
      <c r="M750" s="2">
        <v>0.81111111111111112</v>
      </c>
      <c r="N750" s="1" t="s">
        <v>32</v>
      </c>
      <c r="O750" s="3">
        <v>11061</v>
      </c>
      <c r="P750">
        <v>4761904762</v>
      </c>
      <c r="Q750" s="3">
        <v>55305</v>
      </c>
      <c r="R750">
        <v>8</v>
      </c>
      <c r="S750" s="3">
        <f>G750*SuperMarket_Analysis[[#This Row],[Quantity]]</f>
        <v>11061</v>
      </c>
    </row>
    <row r="751" spans="1:19" x14ac:dyDescent="0.25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177</v>
      </c>
      <c r="F751" s="1" t="s">
        <v>22</v>
      </c>
      <c r="G751" s="3">
        <v>8123</v>
      </c>
      <c r="H751">
        <v>7</v>
      </c>
      <c r="I751" s="3">
        <v>284305</v>
      </c>
      <c r="J751">
        <v>5970405</v>
      </c>
      <c r="K751" t="str">
        <f t="shared" si="11"/>
        <v>janeiro</v>
      </c>
      <c r="L751" s="4">
        <v>43480</v>
      </c>
      <c r="M751" s="2">
        <v>0.86388888888888893</v>
      </c>
      <c r="N751" s="1" t="s">
        <v>29</v>
      </c>
      <c r="O751" s="3">
        <v>56861</v>
      </c>
      <c r="P751">
        <v>4761904762</v>
      </c>
      <c r="Q751" s="3">
        <v>284305</v>
      </c>
      <c r="R751">
        <v>9</v>
      </c>
      <c r="S751" s="3">
        <f>G751*SuperMarket_Analysis[[#This Row],[Quantity]]</f>
        <v>56861</v>
      </c>
    </row>
    <row r="752" spans="1:19" x14ac:dyDescent="0.25">
      <c r="A752" s="1" t="s">
        <v>786</v>
      </c>
      <c r="B752" s="1" t="s">
        <v>41</v>
      </c>
      <c r="C752" s="1" t="s">
        <v>42</v>
      </c>
      <c r="D752" s="1" t="s">
        <v>20</v>
      </c>
      <c r="E752" s="1" t="s">
        <v>21</v>
      </c>
      <c r="F752" s="1" t="s">
        <v>45</v>
      </c>
      <c r="G752" s="3">
        <v>2232</v>
      </c>
      <c r="H752">
        <v>4</v>
      </c>
      <c r="I752" s="3">
        <v>4464</v>
      </c>
      <c r="J752">
        <v>93744</v>
      </c>
      <c r="K752" t="str">
        <f t="shared" si="11"/>
        <v>março</v>
      </c>
      <c r="L752" s="4">
        <v>43538</v>
      </c>
      <c r="M752" s="2">
        <v>0.46944444444444444</v>
      </c>
      <c r="N752" s="1" t="s">
        <v>23</v>
      </c>
      <c r="O752" s="3">
        <v>8928</v>
      </c>
      <c r="P752">
        <v>4761904762</v>
      </c>
      <c r="Q752" s="3">
        <v>4464</v>
      </c>
      <c r="R752">
        <v>41</v>
      </c>
      <c r="S752" s="3">
        <f>G752*SuperMarket_Analysis[[#This Row],[Quantity]]</f>
        <v>8928</v>
      </c>
    </row>
    <row r="753" spans="1:19" x14ac:dyDescent="0.25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43</v>
      </c>
      <c r="G753" s="3">
        <v>2728</v>
      </c>
      <c r="H753">
        <v>5</v>
      </c>
      <c r="I753" s="3">
        <v>682</v>
      </c>
      <c r="J753">
        <v>14322</v>
      </c>
      <c r="K753" t="str">
        <f t="shared" si="11"/>
        <v>fevereiro</v>
      </c>
      <c r="L753" s="4">
        <v>43499</v>
      </c>
      <c r="M753" s="2">
        <v>0.43819444444444444</v>
      </c>
      <c r="N753" s="1" t="s">
        <v>32</v>
      </c>
      <c r="O753" s="3">
        <v>1364</v>
      </c>
      <c r="P753">
        <v>4761904762</v>
      </c>
      <c r="Q753" s="3">
        <v>682</v>
      </c>
      <c r="R753">
        <v>86</v>
      </c>
      <c r="S753" s="3">
        <f>G753*SuperMarket_Analysis[[#This Row],[Quantity]]</f>
        <v>13640</v>
      </c>
    </row>
    <row r="754" spans="1:19" x14ac:dyDescent="0.25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3">
        <v>1742</v>
      </c>
      <c r="H754">
        <v>10</v>
      </c>
      <c r="I754" s="3">
        <v>871</v>
      </c>
      <c r="J754">
        <v>18291</v>
      </c>
      <c r="K754" t="str">
        <f t="shared" si="11"/>
        <v>fevereiro</v>
      </c>
      <c r="L754" s="4">
        <v>43518</v>
      </c>
      <c r="M754" s="2">
        <v>0.52083333333333337</v>
      </c>
      <c r="N754" s="1" t="s">
        <v>23</v>
      </c>
      <c r="O754" s="3">
        <v>1742</v>
      </c>
      <c r="P754">
        <v>4761904762</v>
      </c>
      <c r="Q754" s="3">
        <v>871</v>
      </c>
      <c r="R754">
        <v>7</v>
      </c>
      <c r="S754" s="3">
        <f>G754*SuperMarket_Analysis[[#This Row],[Quantity]]</f>
        <v>17420</v>
      </c>
    </row>
    <row r="755" spans="1:19" x14ac:dyDescent="0.25">
      <c r="A755" s="1" t="s">
        <v>789</v>
      </c>
      <c r="B755" s="1" t="s">
        <v>41</v>
      </c>
      <c r="C755" s="1" t="s">
        <v>42</v>
      </c>
      <c r="D755" s="1" t="s">
        <v>27</v>
      </c>
      <c r="E755" s="1" t="s">
        <v>177</v>
      </c>
      <c r="F755" s="1" t="s">
        <v>31</v>
      </c>
      <c r="G755" s="3">
        <v>7328</v>
      </c>
      <c r="H755">
        <v>5</v>
      </c>
      <c r="I755" s="3">
        <v>1832</v>
      </c>
      <c r="J755">
        <v>38472</v>
      </c>
      <c r="K755" t="str">
        <f t="shared" si="11"/>
        <v>janeiro</v>
      </c>
      <c r="L755" s="4">
        <v>43489</v>
      </c>
      <c r="M755" s="2">
        <v>0.62847222222222221</v>
      </c>
      <c r="N755" s="1" t="s">
        <v>23</v>
      </c>
      <c r="O755" s="3">
        <v>3664</v>
      </c>
      <c r="P755">
        <v>4761904762</v>
      </c>
      <c r="Q755" s="3">
        <v>1832</v>
      </c>
      <c r="R755">
        <v>84</v>
      </c>
      <c r="S755" s="3">
        <f>G755*SuperMarket_Analysis[[#This Row],[Quantity]]</f>
        <v>36640</v>
      </c>
    </row>
    <row r="756" spans="1:19" x14ac:dyDescent="0.25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45</v>
      </c>
      <c r="G756" s="3">
        <v>8487</v>
      </c>
      <c r="H756">
        <v>3</v>
      </c>
      <c r="I756" s="3">
        <v>127305</v>
      </c>
      <c r="J756">
        <v>2673405</v>
      </c>
      <c r="K756" t="str">
        <f t="shared" si="11"/>
        <v>janeiro</v>
      </c>
      <c r="L756" s="4">
        <v>43490</v>
      </c>
      <c r="M756" s="2">
        <v>0.77083333333333337</v>
      </c>
      <c r="N756" s="1" t="s">
        <v>23</v>
      </c>
      <c r="O756" s="3">
        <v>25461</v>
      </c>
      <c r="P756">
        <v>4761904762</v>
      </c>
      <c r="Q756" s="3">
        <v>127305</v>
      </c>
      <c r="R756">
        <v>74</v>
      </c>
      <c r="S756" s="3">
        <f>G756*SuperMarket_Analysis[[#This Row],[Quantity]]</f>
        <v>25461</v>
      </c>
    </row>
    <row r="757" spans="1:19" x14ac:dyDescent="0.25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45</v>
      </c>
      <c r="G757" s="3">
        <v>9729</v>
      </c>
      <c r="H757">
        <v>8</v>
      </c>
      <c r="I757" s="3">
        <v>38916</v>
      </c>
      <c r="J757">
        <v>817236</v>
      </c>
      <c r="K757" t="str">
        <f t="shared" si="11"/>
        <v>março</v>
      </c>
      <c r="L757" s="4">
        <v>43533</v>
      </c>
      <c r="M757" s="2">
        <v>0.5541666666666667</v>
      </c>
      <c r="N757" s="1" t="s">
        <v>32</v>
      </c>
      <c r="O757" s="3">
        <v>77832</v>
      </c>
      <c r="P757">
        <v>4761904762</v>
      </c>
      <c r="Q757" s="3">
        <v>38916</v>
      </c>
      <c r="R757">
        <v>62</v>
      </c>
      <c r="S757" s="3">
        <f>G757*SuperMarket_Analysis[[#This Row],[Quantity]]</f>
        <v>77832</v>
      </c>
    </row>
    <row r="758" spans="1:19" x14ac:dyDescent="0.25">
      <c r="A758" s="1" t="s">
        <v>792</v>
      </c>
      <c r="B758" s="1" t="s">
        <v>41</v>
      </c>
      <c r="C758" s="1" t="s">
        <v>42</v>
      </c>
      <c r="D758" s="1" t="s">
        <v>20</v>
      </c>
      <c r="E758" s="1" t="s">
        <v>21</v>
      </c>
      <c r="F758" s="1" t="s">
        <v>28</v>
      </c>
      <c r="G758" s="3">
        <v>3574</v>
      </c>
      <c r="H758">
        <v>8</v>
      </c>
      <c r="I758" s="3">
        <v>14296</v>
      </c>
      <c r="J758">
        <v>300216</v>
      </c>
      <c r="K758" t="str">
        <f t="shared" si="11"/>
        <v>fevereiro</v>
      </c>
      <c r="L758" s="4">
        <v>43513</v>
      </c>
      <c r="M758" s="2">
        <v>0.64444444444444449</v>
      </c>
      <c r="N758" s="1" t="s">
        <v>23</v>
      </c>
      <c r="O758" s="3">
        <v>28592</v>
      </c>
      <c r="P758">
        <v>4761904762</v>
      </c>
      <c r="Q758" s="3">
        <v>14296</v>
      </c>
      <c r="R758">
        <v>49</v>
      </c>
      <c r="S758" s="3">
        <f>G758*SuperMarket_Analysis[[#This Row],[Quantity]]</f>
        <v>28592</v>
      </c>
    </row>
    <row r="759" spans="1:19" x14ac:dyDescent="0.25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3">
        <v>9652</v>
      </c>
      <c r="H759">
        <v>6</v>
      </c>
      <c r="I759" s="3">
        <v>28956</v>
      </c>
      <c r="J759">
        <v>608076</v>
      </c>
      <c r="K759" t="str">
        <f t="shared" si="11"/>
        <v>janeiro</v>
      </c>
      <c r="L759" s="4">
        <v>43476</v>
      </c>
      <c r="M759" s="2">
        <v>0.49444444444444446</v>
      </c>
      <c r="N759" s="1" t="s">
        <v>29</v>
      </c>
      <c r="O759" s="3">
        <v>57912</v>
      </c>
      <c r="P759">
        <v>4761904762</v>
      </c>
      <c r="Q759" s="3">
        <v>28956</v>
      </c>
      <c r="R759">
        <v>45</v>
      </c>
      <c r="S759" s="3">
        <f>G759*SuperMarket_Analysis[[#This Row],[Quantity]]</f>
        <v>57912</v>
      </c>
    </row>
    <row r="760" spans="1:19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177</v>
      </c>
      <c r="F760" s="1" t="s">
        <v>43</v>
      </c>
      <c r="G760" s="3">
        <v>1885</v>
      </c>
      <c r="H760">
        <v>10</v>
      </c>
      <c r="I760" s="3">
        <v>9425</v>
      </c>
      <c r="J760">
        <v>197925</v>
      </c>
      <c r="K760" t="str">
        <f t="shared" si="11"/>
        <v>fevereiro</v>
      </c>
      <c r="L760" s="4">
        <v>43523</v>
      </c>
      <c r="M760" s="2">
        <v>0.76666666666666672</v>
      </c>
      <c r="N760" s="1" t="s">
        <v>23</v>
      </c>
      <c r="O760" s="3">
        <v>1885</v>
      </c>
      <c r="P760">
        <v>4761904762</v>
      </c>
      <c r="Q760" s="3">
        <v>9425</v>
      </c>
      <c r="R760">
        <v>56</v>
      </c>
      <c r="S760" s="3">
        <f>G760*SuperMarket_Analysis[[#This Row],[Quantity]]</f>
        <v>18850</v>
      </c>
    </row>
    <row r="761" spans="1:19" x14ac:dyDescent="0.25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43</v>
      </c>
      <c r="G761" s="3">
        <v>5539</v>
      </c>
      <c r="H761">
        <v>4</v>
      </c>
      <c r="I761" s="3">
        <v>11078</v>
      </c>
      <c r="J761">
        <v>232638</v>
      </c>
      <c r="K761" t="str">
        <f t="shared" si="11"/>
        <v>março</v>
      </c>
      <c r="L761" s="4">
        <v>43549</v>
      </c>
      <c r="M761" s="2">
        <v>0.6381944444444444</v>
      </c>
      <c r="N761" s="1" t="s">
        <v>23</v>
      </c>
      <c r="O761" s="3">
        <v>22156</v>
      </c>
      <c r="P761">
        <v>4761904762</v>
      </c>
      <c r="Q761" s="3">
        <v>11078</v>
      </c>
      <c r="R761">
        <v>8</v>
      </c>
      <c r="S761" s="3">
        <f>G761*SuperMarket_Analysis[[#This Row],[Quantity]]</f>
        <v>22156</v>
      </c>
    </row>
    <row r="762" spans="1:19" x14ac:dyDescent="0.25">
      <c r="A762" s="1" t="s">
        <v>796</v>
      </c>
      <c r="B762" s="1" t="s">
        <v>41</v>
      </c>
      <c r="C762" s="1" t="s">
        <v>42</v>
      </c>
      <c r="D762" s="1" t="s">
        <v>20</v>
      </c>
      <c r="E762" s="1" t="s">
        <v>21</v>
      </c>
      <c r="F762" s="1" t="s">
        <v>43</v>
      </c>
      <c r="G762" s="3">
        <v>772</v>
      </c>
      <c r="H762">
        <v>10</v>
      </c>
      <c r="I762" s="3">
        <v>386</v>
      </c>
      <c r="J762">
        <v>8106</v>
      </c>
      <c r="K762" t="str">
        <f t="shared" si="11"/>
        <v>fevereiro</v>
      </c>
      <c r="L762" s="4">
        <v>43507</v>
      </c>
      <c r="M762" s="2">
        <v>0.44305555555555554</v>
      </c>
      <c r="N762" s="1" t="s">
        <v>32</v>
      </c>
      <c r="O762" s="3">
        <v>772</v>
      </c>
      <c r="P762">
        <v>4761904762</v>
      </c>
      <c r="Q762" s="3">
        <v>386</v>
      </c>
      <c r="R762">
        <v>56</v>
      </c>
      <c r="S762" s="3">
        <f>G762*SuperMarket_Analysis[[#This Row],[Quantity]]</f>
        <v>7720</v>
      </c>
    </row>
    <row r="763" spans="1:19" x14ac:dyDescent="0.25">
      <c r="A763" s="1" t="s">
        <v>797</v>
      </c>
      <c r="B763" s="1" t="s">
        <v>41</v>
      </c>
      <c r="C763" s="1" t="s">
        <v>42</v>
      </c>
      <c r="D763" s="1" t="s">
        <v>27</v>
      </c>
      <c r="E763" s="1" t="s">
        <v>177</v>
      </c>
      <c r="F763" s="1" t="s">
        <v>28</v>
      </c>
      <c r="G763" s="3">
        <v>7213</v>
      </c>
      <c r="H763">
        <v>10</v>
      </c>
      <c r="I763" s="3">
        <v>36065</v>
      </c>
      <c r="J763">
        <v>757365</v>
      </c>
      <c r="K763" t="str">
        <f t="shared" si="11"/>
        <v>janeiro</v>
      </c>
      <c r="L763" s="4">
        <v>43496</v>
      </c>
      <c r="M763" s="2">
        <v>0.6333333333333333</v>
      </c>
      <c r="N763" s="1" t="s">
        <v>32</v>
      </c>
      <c r="O763" s="3">
        <v>7213</v>
      </c>
      <c r="P763">
        <v>4761904762</v>
      </c>
      <c r="Q763" s="3">
        <v>36065</v>
      </c>
      <c r="R763">
        <v>42</v>
      </c>
      <c r="S763" s="3">
        <f>G763*SuperMarket_Analysis[[#This Row],[Quantity]]</f>
        <v>72130</v>
      </c>
    </row>
    <row r="764" spans="1:19" x14ac:dyDescent="0.25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45</v>
      </c>
      <c r="G764" s="3">
        <v>6388</v>
      </c>
      <c r="H764">
        <v>8</v>
      </c>
      <c r="I764" s="3">
        <v>25552</v>
      </c>
      <c r="J764">
        <v>536592</v>
      </c>
      <c r="K764" t="str">
        <f t="shared" si="11"/>
        <v>janeiro</v>
      </c>
      <c r="L764" s="4">
        <v>43485</v>
      </c>
      <c r="M764" s="2">
        <v>0.7416666666666667</v>
      </c>
      <c r="N764" s="1" t="s">
        <v>23</v>
      </c>
      <c r="O764" s="3">
        <v>51104</v>
      </c>
      <c r="P764">
        <v>4761904762</v>
      </c>
      <c r="Q764" s="3">
        <v>25552</v>
      </c>
      <c r="R764">
        <v>99</v>
      </c>
      <c r="S764" s="3">
        <f>G764*SuperMarket_Analysis[[#This Row],[Quantity]]</f>
        <v>51104</v>
      </c>
    </row>
    <row r="765" spans="1:19" x14ac:dyDescent="0.25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3">
        <v>1069</v>
      </c>
      <c r="H765">
        <v>5</v>
      </c>
      <c r="I765" s="3">
        <v>26725</v>
      </c>
      <c r="J765">
        <v>561225</v>
      </c>
      <c r="K765" t="str">
        <f t="shared" si="11"/>
        <v>março</v>
      </c>
      <c r="L765" s="4">
        <v>43550</v>
      </c>
      <c r="M765" s="2">
        <v>0.46319444444444446</v>
      </c>
      <c r="N765" s="1" t="s">
        <v>23</v>
      </c>
      <c r="O765" s="3">
        <v>5345</v>
      </c>
      <c r="P765">
        <v>4761904762</v>
      </c>
      <c r="Q765" s="3">
        <v>26725</v>
      </c>
      <c r="R765">
        <v>76</v>
      </c>
      <c r="S765" s="3">
        <f>G765*SuperMarket_Analysis[[#This Row],[Quantity]]</f>
        <v>5345</v>
      </c>
    </row>
    <row r="766" spans="1:19" x14ac:dyDescent="0.25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177</v>
      </c>
      <c r="F766" s="1" t="s">
        <v>22</v>
      </c>
      <c r="G766" s="3">
        <v>555</v>
      </c>
      <c r="H766">
        <v>4</v>
      </c>
      <c r="I766" s="3">
        <v>111</v>
      </c>
      <c r="J766">
        <v>2331</v>
      </c>
      <c r="K766" t="str">
        <f t="shared" si="11"/>
        <v>janeiro</v>
      </c>
      <c r="L766" s="4">
        <v>43485</v>
      </c>
      <c r="M766" s="2">
        <v>0.65833333333333333</v>
      </c>
      <c r="N766" s="1" t="s">
        <v>32</v>
      </c>
      <c r="O766" s="3">
        <v>222</v>
      </c>
      <c r="P766">
        <v>4761904762</v>
      </c>
      <c r="Q766" s="3">
        <v>111</v>
      </c>
      <c r="R766">
        <v>66</v>
      </c>
      <c r="S766" s="3">
        <f>G766*SuperMarket_Analysis[[#This Row],[Quantity]]</f>
        <v>2220</v>
      </c>
    </row>
    <row r="767" spans="1:19" x14ac:dyDescent="0.25">
      <c r="A767" s="1" t="s">
        <v>801</v>
      </c>
      <c r="B767" s="1" t="s">
        <v>41</v>
      </c>
      <c r="C767" s="1" t="s">
        <v>42</v>
      </c>
      <c r="D767" s="1" t="s">
        <v>27</v>
      </c>
      <c r="E767" s="1" t="s">
        <v>21</v>
      </c>
      <c r="F767" s="1" t="s">
        <v>31</v>
      </c>
      <c r="G767" s="3">
        <v>9546</v>
      </c>
      <c r="H767">
        <v>8</v>
      </c>
      <c r="I767" s="3">
        <v>38184</v>
      </c>
      <c r="J767">
        <v>801864</v>
      </c>
      <c r="K767" t="str">
        <f t="shared" si="11"/>
        <v>março</v>
      </c>
      <c r="L767" s="4">
        <v>43529</v>
      </c>
      <c r="M767" s="2">
        <v>0.81944444444444442</v>
      </c>
      <c r="N767" s="1" t="s">
        <v>23</v>
      </c>
      <c r="O767" s="3">
        <v>76368</v>
      </c>
      <c r="P767">
        <v>4761904762</v>
      </c>
      <c r="Q767" s="3">
        <v>38184</v>
      </c>
      <c r="R767">
        <v>47</v>
      </c>
      <c r="S767" s="3">
        <f>G767*SuperMarket_Analysis[[#This Row],[Quantity]]</f>
        <v>76368</v>
      </c>
    </row>
    <row r="768" spans="1:19" x14ac:dyDescent="0.25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45</v>
      </c>
      <c r="G768" s="3">
        <v>7606</v>
      </c>
      <c r="H768">
        <v>3</v>
      </c>
      <c r="I768" s="3">
        <v>11409</v>
      </c>
      <c r="J768">
        <v>239589</v>
      </c>
      <c r="K768" t="str">
        <f t="shared" si="11"/>
        <v>janeiro</v>
      </c>
      <c r="L768" s="4">
        <v>43470</v>
      </c>
      <c r="M768" s="2">
        <v>0.85416666666666663</v>
      </c>
      <c r="N768" s="1" t="s">
        <v>32</v>
      </c>
      <c r="O768" s="3">
        <v>22818</v>
      </c>
      <c r="P768">
        <v>4761904762</v>
      </c>
      <c r="Q768" s="3">
        <v>11409</v>
      </c>
      <c r="R768">
        <v>98</v>
      </c>
      <c r="S768" s="3">
        <f>G768*SuperMarket_Analysis[[#This Row],[Quantity]]</f>
        <v>22818</v>
      </c>
    </row>
    <row r="769" spans="1:19" x14ac:dyDescent="0.25">
      <c r="A769" s="1" t="s">
        <v>803</v>
      </c>
      <c r="B769" s="1" t="s">
        <v>41</v>
      </c>
      <c r="C769" s="1" t="s">
        <v>42</v>
      </c>
      <c r="D769" s="1" t="s">
        <v>27</v>
      </c>
      <c r="E769" s="1" t="s">
        <v>177</v>
      </c>
      <c r="F769" s="1" t="s">
        <v>35</v>
      </c>
      <c r="G769" s="3">
        <v>1369</v>
      </c>
      <c r="H769">
        <v>6</v>
      </c>
      <c r="I769" s="3">
        <v>4107</v>
      </c>
      <c r="J769">
        <v>86247</v>
      </c>
      <c r="K769" t="str">
        <f t="shared" si="11"/>
        <v>fevereiro</v>
      </c>
      <c r="L769" s="4">
        <v>43509</v>
      </c>
      <c r="M769" s="2">
        <v>0.58263888888888893</v>
      </c>
      <c r="N769" s="1" t="s">
        <v>29</v>
      </c>
      <c r="O769" s="3">
        <v>8214</v>
      </c>
      <c r="P769">
        <v>4761904762</v>
      </c>
      <c r="Q769" s="3">
        <v>4107</v>
      </c>
      <c r="R769">
        <v>63</v>
      </c>
      <c r="S769" s="3">
        <f>G769*SuperMarket_Analysis[[#This Row],[Quantity]]</f>
        <v>8214</v>
      </c>
    </row>
    <row r="770" spans="1:19" x14ac:dyDescent="0.25">
      <c r="A770" s="1" t="s">
        <v>804</v>
      </c>
      <c r="B770" s="1" t="s">
        <v>41</v>
      </c>
      <c r="C770" s="1" t="s">
        <v>42</v>
      </c>
      <c r="D770" s="1" t="s">
        <v>27</v>
      </c>
      <c r="E770" s="1" t="s">
        <v>21</v>
      </c>
      <c r="F770" s="1" t="s">
        <v>28</v>
      </c>
      <c r="G770" s="3">
        <v>9564</v>
      </c>
      <c r="H770">
        <v>4</v>
      </c>
      <c r="I770" s="3">
        <v>19128</v>
      </c>
      <c r="J770">
        <v>401688</v>
      </c>
      <c r="K770" t="str">
        <f t="shared" ref="K770:K833" si="12">TEXT(L770, "mmmm")</f>
        <v>março</v>
      </c>
      <c r="L770" s="4">
        <v>43540</v>
      </c>
      <c r="M770" s="2">
        <v>0.78541666666666665</v>
      </c>
      <c r="N770" s="1" t="s">
        <v>29</v>
      </c>
      <c r="O770" s="3">
        <v>38256</v>
      </c>
      <c r="P770">
        <v>4761904762</v>
      </c>
      <c r="Q770" s="3">
        <v>19128</v>
      </c>
      <c r="R770">
        <v>79</v>
      </c>
      <c r="S770" s="3">
        <f>G770*SuperMarket_Analysis[[#This Row],[Quantity]]</f>
        <v>38256</v>
      </c>
    </row>
    <row r="771" spans="1:19" x14ac:dyDescent="0.25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3">
        <v>1143</v>
      </c>
      <c r="H771">
        <v>6</v>
      </c>
      <c r="I771" s="3">
        <v>3429</v>
      </c>
      <c r="J771">
        <v>72009</v>
      </c>
      <c r="K771" t="str">
        <f t="shared" si="12"/>
        <v>janeiro</v>
      </c>
      <c r="L771" s="4">
        <v>43480</v>
      </c>
      <c r="M771" s="2">
        <v>0.72499999999999998</v>
      </c>
      <c r="N771" s="1" t="s">
        <v>29</v>
      </c>
      <c r="O771" s="3">
        <v>6858</v>
      </c>
      <c r="P771">
        <v>4761904762</v>
      </c>
      <c r="Q771" s="3">
        <v>3429</v>
      </c>
      <c r="R771">
        <v>77</v>
      </c>
      <c r="S771" s="3">
        <f>G771*SuperMarket_Analysis[[#This Row],[Quantity]]</f>
        <v>6858</v>
      </c>
    </row>
    <row r="772" spans="1:19" x14ac:dyDescent="0.25">
      <c r="A772" s="1" t="s">
        <v>806</v>
      </c>
      <c r="B772" s="1" t="s">
        <v>41</v>
      </c>
      <c r="C772" s="1" t="s">
        <v>42</v>
      </c>
      <c r="D772" s="1" t="s">
        <v>20</v>
      </c>
      <c r="E772" s="1" t="s">
        <v>21</v>
      </c>
      <c r="F772" s="1" t="s">
        <v>35</v>
      </c>
      <c r="G772" s="3">
        <v>9554</v>
      </c>
      <c r="H772">
        <v>4</v>
      </c>
      <c r="I772" s="3">
        <v>19108</v>
      </c>
      <c r="J772">
        <v>401268</v>
      </c>
      <c r="K772" t="str">
        <f t="shared" si="12"/>
        <v>fevereiro</v>
      </c>
      <c r="L772" s="4">
        <v>43522</v>
      </c>
      <c r="M772" s="2">
        <v>0.49861111111111112</v>
      </c>
      <c r="N772" s="1" t="s">
        <v>23</v>
      </c>
      <c r="O772" s="3">
        <v>38216</v>
      </c>
      <c r="P772">
        <v>4761904762</v>
      </c>
      <c r="Q772" s="3">
        <v>19108</v>
      </c>
      <c r="R772">
        <v>45</v>
      </c>
      <c r="S772" s="3">
        <f>G772*SuperMarket_Analysis[[#This Row],[Quantity]]</f>
        <v>38216</v>
      </c>
    </row>
    <row r="773" spans="1:19" x14ac:dyDescent="0.25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3">
        <v>8587</v>
      </c>
      <c r="H773">
        <v>7</v>
      </c>
      <c r="I773" s="3">
        <v>300545</v>
      </c>
      <c r="J773">
        <v>6311445</v>
      </c>
      <c r="K773" t="str">
        <f t="shared" si="12"/>
        <v>fevereiro</v>
      </c>
      <c r="L773" s="4">
        <v>43523</v>
      </c>
      <c r="M773" s="2">
        <v>0.79236111111111107</v>
      </c>
      <c r="N773" s="1" t="s">
        <v>32</v>
      </c>
      <c r="O773" s="3">
        <v>60109</v>
      </c>
      <c r="P773">
        <v>4761904762</v>
      </c>
      <c r="Q773" s="3">
        <v>300545</v>
      </c>
      <c r="R773">
        <v>8</v>
      </c>
      <c r="S773" s="3">
        <f>G773*SuperMarket_Analysis[[#This Row],[Quantity]]</f>
        <v>60109</v>
      </c>
    </row>
    <row r="774" spans="1:19" x14ac:dyDescent="0.25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35</v>
      </c>
      <c r="G774" s="3">
        <v>6799</v>
      </c>
      <c r="H774">
        <v>7</v>
      </c>
      <c r="I774" s="3">
        <v>237965</v>
      </c>
      <c r="J774">
        <v>4997265</v>
      </c>
      <c r="K774" t="str">
        <f t="shared" si="12"/>
        <v>fevereiro</v>
      </c>
      <c r="L774" s="4">
        <v>43513</v>
      </c>
      <c r="M774" s="2">
        <v>0.70138888888888884</v>
      </c>
      <c r="N774" s="1" t="s">
        <v>23</v>
      </c>
      <c r="O774" s="3">
        <v>47593</v>
      </c>
      <c r="P774">
        <v>4761904762</v>
      </c>
      <c r="Q774" s="3">
        <v>237965</v>
      </c>
      <c r="R774">
        <v>57</v>
      </c>
      <c r="S774" s="3">
        <f>G774*SuperMarket_Analysis[[#This Row],[Quantity]]</f>
        <v>47593</v>
      </c>
    </row>
    <row r="775" spans="1:19" x14ac:dyDescent="0.25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43</v>
      </c>
      <c r="G775" s="3">
        <v>5242</v>
      </c>
      <c r="H775">
        <v>1</v>
      </c>
      <c r="I775" s="3">
        <v>2621</v>
      </c>
      <c r="J775">
        <v>55041</v>
      </c>
      <c r="K775" t="str">
        <f t="shared" si="12"/>
        <v>fevereiro</v>
      </c>
      <c r="L775" s="4">
        <v>43502</v>
      </c>
      <c r="M775" s="2">
        <v>0.43194444444444446</v>
      </c>
      <c r="N775" s="1" t="s">
        <v>32</v>
      </c>
      <c r="O775" s="3">
        <v>5242</v>
      </c>
      <c r="P775">
        <v>4761904762</v>
      </c>
      <c r="Q775" s="3">
        <v>2621</v>
      </c>
      <c r="R775">
        <v>63</v>
      </c>
      <c r="S775" s="3">
        <f>G775*SuperMarket_Analysis[[#This Row],[Quantity]]</f>
        <v>5242</v>
      </c>
    </row>
    <row r="776" spans="1:19" x14ac:dyDescent="0.25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177</v>
      </c>
      <c r="F776" s="1" t="s">
        <v>43</v>
      </c>
      <c r="G776" s="3">
        <v>6565</v>
      </c>
      <c r="H776">
        <v>2</v>
      </c>
      <c r="I776" s="3">
        <v>6565</v>
      </c>
      <c r="J776">
        <v>137865</v>
      </c>
      <c r="K776" t="str">
        <f t="shared" si="12"/>
        <v>janeiro</v>
      </c>
      <c r="L776" s="4">
        <v>43482</v>
      </c>
      <c r="M776" s="2">
        <v>0.69861111111111107</v>
      </c>
      <c r="N776" s="1" t="s">
        <v>29</v>
      </c>
      <c r="O776" s="3">
        <v>1313</v>
      </c>
      <c r="P776">
        <v>4761904762</v>
      </c>
      <c r="Q776" s="3">
        <v>6565</v>
      </c>
      <c r="R776">
        <v>6</v>
      </c>
      <c r="S776" s="3">
        <f>G776*SuperMarket_Analysis[[#This Row],[Quantity]]</f>
        <v>13130</v>
      </c>
    </row>
    <row r="777" spans="1:19" x14ac:dyDescent="0.25">
      <c r="A777" s="1" t="s">
        <v>811</v>
      </c>
      <c r="B777" s="1" t="s">
        <v>41</v>
      </c>
      <c r="C777" s="1" t="s">
        <v>42</v>
      </c>
      <c r="D777" s="1" t="s">
        <v>27</v>
      </c>
      <c r="E777" s="1" t="s">
        <v>21</v>
      </c>
      <c r="F777" s="1" t="s">
        <v>43</v>
      </c>
      <c r="G777" s="3">
        <v>2886</v>
      </c>
      <c r="H777">
        <v>5</v>
      </c>
      <c r="I777" s="3">
        <v>7215</v>
      </c>
      <c r="J777">
        <v>151515</v>
      </c>
      <c r="K777" t="str">
        <f t="shared" si="12"/>
        <v>janeiro</v>
      </c>
      <c r="L777" s="4">
        <v>43487</v>
      </c>
      <c r="M777" s="2">
        <v>0.75555555555555554</v>
      </c>
      <c r="N777" s="1" t="s">
        <v>32</v>
      </c>
      <c r="O777" s="3">
        <v>1443</v>
      </c>
      <c r="P777">
        <v>4761904762</v>
      </c>
      <c r="Q777" s="3">
        <v>7215</v>
      </c>
      <c r="R777">
        <v>8</v>
      </c>
      <c r="S777" s="3">
        <f>G777*SuperMarket_Analysis[[#This Row],[Quantity]]</f>
        <v>14430</v>
      </c>
    </row>
    <row r="778" spans="1:19" x14ac:dyDescent="0.25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177</v>
      </c>
      <c r="F778" s="1" t="s">
        <v>22</v>
      </c>
      <c r="G778" s="3">
        <v>6531</v>
      </c>
      <c r="H778">
        <v>7</v>
      </c>
      <c r="I778" s="3">
        <v>228585</v>
      </c>
      <c r="J778">
        <v>4800285</v>
      </c>
      <c r="K778" t="str">
        <f t="shared" si="12"/>
        <v>março</v>
      </c>
      <c r="L778" s="4">
        <v>43529</v>
      </c>
      <c r="M778" s="2">
        <v>0.75138888888888888</v>
      </c>
      <c r="N778" s="1" t="s">
        <v>32</v>
      </c>
      <c r="O778" s="3">
        <v>45717</v>
      </c>
      <c r="P778">
        <v>4761904762</v>
      </c>
      <c r="Q778" s="3">
        <v>228585</v>
      </c>
      <c r="R778">
        <v>42</v>
      </c>
      <c r="S778" s="3">
        <f>G778*SuperMarket_Analysis[[#This Row],[Quantity]]</f>
        <v>45717</v>
      </c>
    </row>
    <row r="779" spans="1:19" x14ac:dyDescent="0.25">
      <c r="A779" s="1" t="s">
        <v>813</v>
      </c>
      <c r="B779" s="1" t="s">
        <v>41</v>
      </c>
      <c r="C779" s="1" t="s">
        <v>42</v>
      </c>
      <c r="D779" s="1" t="s">
        <v>27</v>
      </c>
      <c r="E779" s="1" t="s">
        <v>177</v>
      </c>
      <c r="F779" s="1" t="s">
        <v>35</v>
      </c>
      <c r="G779" s="3">
        <v>9338</v>
      </c>
      <c r="H779">
        <v>1</v>
      </c>
      <c r="I779" s="3">
        <v>4669</v>
      </c>
      <c r="J779">
        <v>98049</v>
      </c>
      <c r="K779" t="str">
        <f t="shared" si="12"/>
        <v>janeiro</v>
      </c>
      <c r="L779" s="4">
        <v>43468</v>
      </c>
      <c r="M779" s="2">
        <v>0.54652777777777772</v>
      </c>
      <c r="N779" s="1" t="s">
        <v>29</v>
      </c>
      <c r="O779" s="3">
        <v>9338</v>
      </c>
      <c r="P779">
        <v>4761904762</v>
      </c>
      <c r="Q779" s="3">
        <v>4669</v>
      </c>
      <c r="R779">
        <v>96</v>
      </c>
      <c r="S779" s="3">
        <f>G779*SuperMarket_Analysis[[#This Row],[Quantity]]</f>
        <v>9338</v>
      </c>
    </row>
    <row r="780" spans="1:19" x14ac:dyDescent="0.25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177</v>
      </c>
      <c r="F780" s="1" t="s">
        <v>35</v>
      </c>
      <c r="G780" s="3">
        <v>2525</v>
      </c>
      <c r="H780">
        <v>5</v>
      </c>
      <c r="I780" s="3">
        <v>63125</v>
      </c>
      <c r="J780">
        <v>1325625</v>
      </c>
      <c r="K780" t="str">
        <f t="shared" si="12"/>
        <v>março</v>
      </c>
      <c r="L780" s="4">
        <v>43544</v>
      </c>
      <c r="M780" s="2">
        <v>0.74444444444444446</v>
      </c>
      <c r="N780" s="1" t="s">
        <v>29</v>
      </c>
      <c r="O780" s="3">
        <v>12625</v>
      </c>
      <c r="P780">
        <v>4761904762</v>
      </c>
      <c r="Q780" s="3">
        <v>63125</v>
      </c>
      <c r="R780">
        <v>61</v>
      </c>
      <c r="S780" s="3">
        <f>G780*SuperMarket_Analysis[[#This Row],[Quantity]]</f>
        <v>12625</v>
      </c>
    </row>
    <row r="781" spans="1:19" x14ac:dyDescent="0.25">
      <c r="A781" s="1" t="s">
        <v>815</v>
      </c>
      <c r="B781" s="1" t="s">
        <v>41</v>
      </c>
      <c r="C781" s="1" t="s">
        <v>42</v>
      </c>
      <c r="D781" s="1" t="s">
        <v>20</v>
      </c>
      <c r="E781" s="1" t="s">
        <v>177</v>
      </c>
      <c r="F781" s="1" t="s">
        <v>28</v>
      </c>
      <c r="G781" s="3">
        <v>8787</v>
      </c>
      <c r="H781">
        <v>9</v>
      </c>
      <c r="I781" s="3">
        <v>395415</v>
      </c>
      <c r="J781">
        <v>8303715</v>
      </c>
      <c r="K781" t="str">
        <f t="shared" si="12"/>
        <v>janeiro</v>
      </c>
      <c r="L781" s="4">
        <v>43496</v>
      </c>
      <c r="M781" s="2">
        <v>0.85555555555555551</v>
      </c>
      <c r="N781" s="1" t="s">
        <v>23</v>
      </c>
      <c r="O781" s="3">
        <v>79083</v>
      </c>
      <c r="P781">
        <v>4761904762</v>
      </c>
      <c r="Q781" s="3">
        <v>395415</v>
      </c>
      <c r="R781">
        <v>56</v>
      </c>
      <c r="S781" s="3">
        <f>G781*SuperMarket_Analysis[[#This Row],[Quantity]]</f>
        <v>79083</v>
      </c>
    </row>
    <row r="782" spans="1:19" x14ac:dyDescent="0.25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177</v>
      </c>
      <c r="F782" s="1" t="s">
        <v>22</v>
      </c>
      <c r="G782" s="3">
        <v>218</v>
      </c>
      <c r="H782">
        <v>8</v>
      </c>
      <c r="I782" s="3">
        <v>872</v>
      </c>
      <c r="J782">
        <v>18312</v>
      </c>
      <c r="K782" t="str">
        <f t="shared" si="12"/>
        <v>fevereiro</v>
      </c>
      <c r="L782" s="4">
        <v>43515</v>
      </c>
      <c r="M782" s="2">
        <v>0.80833333333333335</v>
      </c>
      <c r="N782" s="1" t="s">
        <v>29</v>
      </c>
      <c r="O782" s="3">
        <v>1744</v>
      </c>
      <c r="P782">
        <v>4761904762</v>
      </c>
      <c r="Q782" s="3">
        <v>872</v>
      </c>
      <c r="R782">
        <v>83</v>
      </c>
      <c r="S782" s="3">
        <f>G782*SuperMarket_Analysis[[#This Row],[Quantity]]</f>
        <v>1744</v>
      </c>
    </row>
    <row r="783" spans="1:19" x14ac:dyDescent="0.25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35</v>
      </c>
      <c r="G783" s="3">
        <v>9476</v>
      </c>
      <c r="H783">
        <v>4</v>
      </c>
      <c r="I783" s="3">
        <v>18952</v>
      </c>
      <c r="J783">
        <v>397992</v>
      </c>
      <c r="K783" t="str">
        <f t="shared" si="12"/>
        <v>fevereiro</v>
      </c>
      <c r="L783" s="4">
        <v>43507</v>
      </c>
      <c r="M783" s="2">
        <v>0.67083333333333328</v>
      </c>
      <c r="N783" s="1" t="s">
        <v>23</v>
      </c>
      <c r="O783" s="3">
        <v>37904</v>
      </c>
      <c r="P783">
        <v>4761904762</v>
      </c>
      <c r="Q783" s="3">
        <v>18952</v>
      </c>
      <c r="R783">
        <v>78</v>
      </c>
      <c r="S783" s="3">
        <f>G783*SuperMarket_Analysis[[#This Row],[Quantity]]</f>
        <v>37904</v>
      </c>
    </row>
    <row r="784" spans="1:19" x14ac:dyDescent="0.25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45</v>
      </c>
      <c r="G784" s="3">
        <v>3062</v>
      </c>
      <c r="H784">
        <v>1</v>
      </c>
      <c r="I784" s="3">
        <v>1531</v>
      </c>
      <c r="J784">
        <v>32151</v>
      </c>
      <c r="K784" t="str">
        <f t="shared" si="12"/>
        <v>fevereiro</v>
      </c>
      <c r="L784" s="4">
        <v>43501</v>
      </c>
      <c r="M784" s="2">
        <v>0.59305555555555556</v>
      </c>
      <c r="N784" s="1" t="s">
        <v>32</v>
      </c>
      <c r="O784" s="3">
        <v>3062</v>
      </c>
      <c r="P784">
        <v>4761904762</v>
      </c>
      <c r="Q784" s="3">
        <v>1531</v>
      </c>
      <c r="R784">
        <v>41</v>
      </c>
      <c r="S784" s="3">
        <f>G784*SuperMarket_Analysis[[#This Row],[Quantity]]</f>
        <v>3062</v>
      </c>
    </row>
    <row r="785" spans="1:19" x14ac:dyDescent="0.25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3">
        <v>4401</v>
      </c>
      <c r="H785">
        <v>8</v>
      </c>
      <c r="I785" s="3">
        <v>17604</v>
      </c>
      <c r="J785">
        <v>369684</v>
      </c>
      <c r="K785" t="str">
        <f t="shared" si="12"/>
        <v>março</v>
      </c>
      <c r="L785" s="4">
        <v>43527</v>
      </c>
      <c r="M785" s="2">
        <v>0.73333333333333328</v>
      </c>
      <c r="N785" s="1" t="s">
        <v>29</v>
      </c>
      <c r="O785" s="3">
        <v>35208</v>
      </c>
      <c r="P785">
        <v>4761904762</v>
      </c>
      <c r="Q785" s="3">
        <v>17604</v>
      </c>
      <c r="R785">
        <v>88</v>
      </c>
      <c r="S785" s="3">
        <f>G785*SuperMarket_Analysis[[#This Row],[Quantity]]</f>
        <v>35208</v>
      </c>
    </row>
    <row r="786" spans="1:19" x14ac:dyDescent="0.25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3">
        <v>1016</v>
      </c>
      <c r="H786">
        <v>5</v>
      </c>
      <c r="I786" s="3">
        <v>254</v>
      </c>
      <c r="J786">
        <v>5334</v>
      </c>
      <c r="K786" t="str">
        <f t="shared" si="12"/>
        <v>fevereiro</v>
      </c>
      <c r="L786" s="4">
        <v>43520</v>
      </c>
      <c r="M786" s="2">
        <v>0.54722222222222228</v>
      </c>
      <c r="N786" s="1" t="s">
        <v>23</v>
      </c>
      <c r="O786" s="3">
        <v>508</v>
      </c>
      <c r="P786">
        <v>4761904762</v>
      </c>
      <c r="Q786" s="3">
        <v>254</v>
      </c>
      <c r="R786">
        <v>41</v>
      </c>
      <c r="S786" s="3">
        <f>G786*SuperMarket_Analysis[[#This Row],[Quantity]]</f>
        <v>5080</v>
      </c>
    </row>
    <row r="787" spans="1:19" x14ac:dyDescent="0.25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177</v>
      </c>
      <c r="F787" s="1" t="s">
        <v>28</v>
      </c>
      <c r="G787" s="3">
        <v>7458</v>
      </c>
      <c r="H787">
        <v>7</v>
      </c>
      <c r="I787" s="3">
        <v>26103</v>
      </c>
      <c r="J787">
        <v>548163</v>
      </c>
      <c r="K787" t="str">
        <f t="shared" si="12"/>
        <v>fevereiro</v>
      </c>
      <c r="L787" s="4">
        <v>43500</v>
      </c>
      <c r="M787" s="2">
        <v>0.67291666666666672</v>
      </c>
      <c r="N787" s="1" t="s">
        <v>32</v>
      </c>
      <c r="O787" s="3">
        <v>52206</v>
      </c>
      <c r="P787">
        <v>4761904762</v>
      </c>
      <c r="Q787" s="3">
        <v>26103</v>
      </c>
      <c r="R787">
        <v>9</v>
      </c>
      <c r="S787" s="3">
        <f>G787*SuperMarket_Analysis[[#This Row],[Quantity]]</f>
        <v>52206</v>
      </c>
    </row>
    <row r="788" spans="1:19" x14ac:dyDescent="0.25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177</v>
      </c>
      <c r="F788" s="1" t="s">
        <v>28</v>
      </c>
      <c r="G788" s="3">
        <v>7189</v>
      </c>
      <c r="H788">
        <v>8</v>
      </c>
      <c r="I788" s="3">
        <v>28756</v>
      </c>
      <c r="J788">
        <v>603876</v>
      </c>
      <c r="K788" t="str">
        <f t="shared" si="12"/>
        <v>fevereiro</v>
      </c>
      <c r="L788" s="4">
        <v>43515</v>
      </c>
      <c r="M788" s="2">
        <v>0.48125000000000001</v>
      </c>
      <c r="N788" s="1" t="s">
        <v>23</v>
      </c>
      <c r="O788" s="3">
        <v>57512</v>
      </c>
      <c r="P788">
        <v>4761904762</v>
      </c>
      <c r="Q788" s="3">
        <v>28756</v>
      </c>
      <c r="R788">
        <v>55</v>
      </c>
      <c r="S788" s="3">
        <f>G788*SuperMarket_Analysis[[#This Row],[Quantity]]</f>
        <v>57512</v>
      </c>
    </row>
    <row r="789" spans="1:19" x14ac:dyDescent="0.25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3">
        <v>1099</v>
      </c>
      <c r="H789">
        <v>5</v>
      </c>
      <c r="I789" s="3">
        <v>27475</v>
      </c>
      <c r="J789">
        <v>576975</v>
      </c>
      <c r="K789" t="str">
        <f t="shared" si="12"/>
        <v>janeiro</v>
      </c>
      <c r="L789" s="4">
        <v>43488</v>
      </c>
      <c r="M789" s="2">
        <v>0.42916666666666664</v>
      </c>
      <c r="N789" s="1" t="s">
        <v>32</v>
      </c>
      <c r="O789" s="3">
        <v>5495</v>
      </c>
      <c r="P789">
        <v>4761904762</v>
      </c>
      <c r="Q789" s="3">
        <v>27475</v>
      </c>
      <c r="R789">
        <v>93</v>
      </c>
      <c r="S789" s="3">
        <f>G789*SuperMarket_Analysis[[#This Row],[Quantity]]</f>
        <v>5495</v>
      </c>
    </row>
    <row r="790" spans="1:19" x14ac:dyDescent="0.25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177</v>
      </c>
      <c r="F790" s="1" t="s">
        <v>22</v>
      </c>
      <c r="G790" s="3">
        <v>6047</v>
      </c>
      <c r="H790">
        <v>3</v>
      </c>
      <c r="I790" s="3">
        <v>90705</v>
      </c>
      <c r="J790">
        <v>1904805</v>
      </c>
      <c r="K790" t="str">
        <f t="shared" si="12"/>
        <v>janeiro</v>
      </c>
      <c r="L790" s="4">
        <v>43479</v>
      </c>
      <c r="M790" s="2">
        <v>0.4548611111111111</v>
      </c>
      <c r="N790" s="1" t="s">
        <v>32</v>
      </c>
      <c r="O790" s="3">
        <v>18141</v>
      </c>
      <c r="P790">
        <v>4761904762</v>
      </c>
      <c r="Q790" s="3">
        <v>90705</v>
      </c>
      <c r="R790">
        <v>56</v>
      </c>
      <c r="S790" s="3">
        <f>G790*SuperMarket_Analysis[[#This Row],[Quantity]]</f>
        <v>18141</v>
      </c>
    </row>
    <row r="791" spans="1:19" x14ac:dyDescent="0.25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177</v>
      </c>
      <c r="F791" s="1" t="s">
        <v>35</v>
      </c>
      <c r="G791" s="3">
        <v>5891</v>
      </c>
      <c r="H791">
        <v>7</v>
      </c>
      <c r="I791" s="3">
        <v>206185</v>
      </c>
      <c r="J791">
        <v>4329885</v>
      </c>
      <c r="K791" t="str">
        <f t="shared" si="12"/>
        <v>janeiro</v>
      </c>
      <c r="L791" s="4">
        <v>43482</v>
      </c>
      <c r="M791" s="2">
        <v>0.63541666666666663</v>
      </c>
      <c r="N791" s="1" t="s">
        <v>23</v>
      </c>
      <c r="O791" s="3">
        <v>41237</v>
      </c>
      <c r="P791">
        <v>4761904762</v>
      </c>
      <c r="Q791" s="3">
        <v>206185</v>
      </c>
      <c r="R791">
        <v>97</v>
      </c>
      <c r="S791" s="3">
        <f>G791*SuperMarket_Analysis[[#This Row],[Quantity]]</f>
        <v>41237</v>
      </c>
    </row>
    <row r="792" spans="1:19" x14ac:dyDescent="0.25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177</v>
      </c>
      <c r="F792" s="1" t="s">
        <v>45</v>
      </c>
      <c r="G792" s="3">
        <v>4641</v>
      </c>
      <c r="H792">
        <v>1</v>
      </c>
      <c r="I792" s="3">
        <v>23205</v>
      </c>
      <c r="J792">
        <v>487305</v>
      </c>
      <c r="K792" t="str">
        <f t="shared" si="12"/>
        <v>março</v>
      </c>
      <c r="L792" s="4">
        <v>43527</v>
      </c>
      <c r="M792" s="2">
        <v>0.83750000000000002</v>
      </c>
      <c r="N792" s="1" t="s">
        <v>32</v>
      </c>
      <c r="O792" s="3">
        <v>4641</v>
      </c>
      <c r="P792">
        <v>4761904762</v>
      </c>
      <c r="Q792" s="3">
        <v>23205</v>
      </c>
      <c r="R792">
        <v>4</v>
      </c>
      <c r="S792" s="3">
        <f>G792*SuperMarket_Analysis[[#This Row],[Quantity]]</f>
        <v>4641</v>
      </c>
    </row>
    <row r="793" spans="1:19" x14ac:dyDescent="0.25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177</v>
      </c>
      <c r="F793" s="1" t="s">
        <v>22</v>
      </c>
      <c r="G793" s="3">
        <v>6855</v>
      </c>
      <c r="H793">
        <v>4</v>
      </c>
      <c r="I793" s="3">
        <v>1371</v>
      </c>
      <c r="J793">
        <v>28791</v>
      </c>
      <c r="K793" t="str">
        <f t="shared" si="12"/>
        <v>fevereiro</v>
      </c>
      <c r="L793" s="4">
        <v>43511</v>
      </c>
      <c r="M793" s="2">
        <v>0.84791666666666665</v>
      </c>
      <c r="N793" s="1" t="s">
        <v>32</v>
      </c>
      <c r="O793" s="3">
        <v>2742</v>
      </c>
      <c r="P793">
        <v>4761904762</v>
      </c>
      <c r="Q793" s="3">
        <v>1371</v>
      </c>
      <c r="R793">
        <v>92</v>
      </c>
      <c r="S793" s="3">
        <f>G793*SuperMarket_Analysis[[#This Row],[Quantity]]</f>
        <v>27420</v>
      </c>
    </row>
    <row r="794" spans="1:19" x14ac:dyDescent="0.25">
      <c r="A794" s="1" t="s">
        <v>828</v>
      </c>
      <c r="B794" s="1" t="s">
        <v>41</v>
      </c>
      <c r="C794" s="1" t="s">
        <v>42</v>
      </c>
      <c r="D794" s="1" t="s">
        <v>27</v>
      </c>
      <c r="E794" s="1" t="s">
        <v>21</v>
      </c>
      <c r="F794" s="1" t="s">
        <v>31</v>
      </c>
      <c r="G794" s="3">
        <v>9737</v>
      </c>
      <c r="H794">
        <v>10</v>
      </c>
      <c r="I794" s="3">
        <v>48685</v>
      </c>
      <c r="J794">
        <v>1022385</v>
      </c>
      <c r="K794" t="str">
        <f t="shared" si="12"/>
        <v>janeiro</v>
      </c>
      <c r="L794" s="4">
        <v>43480</v>
      </c>
      <c r="M794" s="2">
        <v>0.57499999999999996</v>
      </c>
      <c r="N794" s="1" t="s">
        <v>32</v>
      </c>
      <c r="O794" s="3">
        <v>9737</v>
      </c>
      <c r="P794">
        <v>4761904762</v>
      </c>
      <c r="Q794" s="3">
        <v>48685</v>
      </c>
      <c r="R794">
        <v>49</v>
      </c>
      <c r="S794" s="3">
        <f>G794*SuperMarket_Analysis[[#This Row],[Quantity]]</f>
        <v>97370</v>
      </c>
    </row>
    <row r="795" spans="1:19" x14ac:dyDescent="0.25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177</v>
      </c>
      <c r="F795" s="1" t="s">
        <v>28</v>
      </c>
      <c r="G795" s="3">
        <v>926</v>
      </c>
      <c r="H795">
        <v>7</v>
      </c>
      <c r="I795" s="3">
        <v>3241</v>
      </c>
      <c r="J795">
        <v>68061</v>
      </c>
      <c r="K795" t="str">
        <f t="shared" si="12"/>
        <v>fevereiro</v>
      </c>
      <c r="L795" s="4">
        <v>43523</v>
      </c>
      <c r="M795" s="2">
        <v>0.53611111111111109</v>
      </c>
      <c r="N795" s="1" t="s">
        <v>32</v>
      </c>
      <c r="O795" s="3">
        <v>6482</v>
      </c>
      <c r="P795">
        <v>4761904762</v>
      </c>
      <c r="Q795" s="3">
        <v>3241</v>
      </c>
      <c r="R795">
        <v>93</v>
      </c>
      <c r="S795" s="3">
        <f>G795*SuperMarket_Analysis[[#This Row],[Quantity]]</f>
        <v>6482</v>
      </c>
    </row>
    <row r="796" spans="1:19" x14ac:dyDescent="0.25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3">
        <v>4661</v>
      </c>
      <c r="H796">
        <v>2</v>
      </c>
      <c r="I796" s="3">
        <v>4661</v>
      </c>
      <c r="J796">
        <v>97881</v>
      </c>
      <c r="K796" t="str">
        <f t="shared" si="12"/>
        <v>fevereiro</v>
      </c>
      <c r="L796" s="4">
        <v>43522</v>
      </c>
      <c r="M796" s="2">
        <v>0.51944444444444449</v>
      </c>
      <c r="N796" s="1" t="s">
        <v>32</v>
      </c>
      <c r="O796" s="3">
        <v>9322</v>
      </c>
      <c r="P796">
        <v>4761904762</v>
      </c>
      <c r="Q796" s="3">
        <v>4661</v>
      </c>
      <c r="R796">
        <v>66</v>
      </c>
      <c r="S796" s="3">
        <f>G796*SuperMarket_Analysis[[#This Row],[Quantity]]</f>
        <v>9322</v>
      </c>
    </row>
    <row r="797" spans="1:19" x14ac:dyDescent="0.25">
      <c r="A797" s="1" t="s">
        <v>831</v>
      </c>
      <c r="B797" s="1" t="s">
        <v>41</v>
      </c>
      <c r="C797" s="1" t="s">
        <v>42</v>
      </c>
      <c r="D797" s="1" t="s">
        <v>27</v>
      </c>
      <c r="E797" s="1" t="s">
        <v>177</v>
      </c>
      <c r="F797" s="1" t="s">
        <v>45</v>
      </c>
      <c r="G797" s="3">
        <v>2718</v>
      </c>
      <c r="H797">
        <v>2</v>
      </c>
      <c r="I797" s="3">
        <v>2718</v>
      </c>
      <c r="J797">
        <v>57078</v>
      </c>
      <c r="K797" t="str">
        <f t="shared" si="12"/>
        <v>março</v>
      </c>
      <c r="L797" s="4">
        <v>43539</v>
      </c>
      <c r="M797" s="2">
        <v>0.68472222222222223</v>
      </c>
      <c r="N797" s="1" t="s">
        <v>23</v>
      </c>
      <c r="O797" s="3">
        <v>5436</v>
      </c>
      <c r="P797">
        <v>4761904762</v>
      </c>
      <c r="Q797" s="3">
        <v>2718</v>
      </c>
      <c r="R797">
        <v>43</v>
      </c>
      <c r="S797" s="3">
        <f>G797*SuperMarket_Analysis[[#This Row],[Quantity]]</f>
        <v>5436</v>
      </c>
    </row>
    <row r="798" spans="1:19" x14ac:dyDescent="0.25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3">
        <v>6087</v>
      </c>
      <c r="H798">
        <v>1</v>
      </c>
      <c r="I798" s="3">
        <v>30435</v>
      </c>
      <c r="J798">
        <v>639135</v>
      </c>
      <c r="K798" t="str">
        <f t="shared" si="12"/>
        <v>janeiro</v>
      </c>
      <c r="L798" s="4">
        <v>43489</v>
      </c>
      <c r="M798" s="2">
        <v>0.55833333333333335</v>
      </c>
      <c r="N798" s="1" t="s">
        <v>29</v>
      </c>
      <c r="O798" s="3">
        <v>6087</v>
      </c>
      <c r="P798">
        <v>4761904762</v>
      </c>
      <c r="Q798" s="3">
        <v>30435</v>
      </c>
      <c r="R798">
        <v>55</v>
      </c>
      <c r="S798" s="3">
        <f>G798*SuperMarket_Analysis[[#This Row],[Quantity]]</f>
        <v>6087</v>
      </c>
    </row>
    <row r="799" spans="1:19" x14ac:dyDescent="0.25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35</v>
      </c>
      <c r="G799" s="3">
        <v>2449</v>
      </c>
      <c r="H799">
        <v>10</v>
      </c>
      <c r="I799" s="3">
        <v>12245</v>
      </c>
      <c r="J799">
        <v>257145</v>
      </c>
      <c r="K799" t="str">
        <f t="shared" si="12"/>
        <v>fevereiro</v>
      </c>
      <c r="L799" s="4">
        <v>43518</v>
      </c>
      <c r="M799" s="2">
        <v>0.63541666666666663</v>
      </c>
      <c r="N799" s="1" t="s">
        <v>29</v>
      </c>
      <c r="O799" s="3">
        <v>2449</v>
      </c>
      <c r="P799">
        <v>4761904762</v>
      </c>
      <c r="Q799" s="3">
        <v>12245</v>
      </c>
      <c r="R799">
        <v>81</v>
      </c>
      <c r="S799" s="3">
        <f>G799*SuperMarket_Analysis[[#This Row],[Quantity]]</f>
        <v>24490</v>
      </c>
    </row>
    <row r="800" spans="1:19" x14ac:dyDescent="0.25">
      <c r="A800" s="1" t="s">
        <v>834</v>
      </c>
      <c r="B800" s="1" t="s">
        <v>41</v>
      </c>
      <c r="C800" s="1" t="s">
        <v>42</v>
      </c>
      <c r="D800" s="1" t="s">
        <v>27</v>
      </c>
      <c r="E800" s="1" t="s">
        <v>177</v>
      </c>
      <c r="F800" s="1" t="s">
        <v>22</v>
      </c>
      <c r="G800" s="3">
        <v>9278</v>
      </c>
      <c r="H800">
        <v>1</v>
      </c>
      <c r="I800" s="3">
        <v>4639</v>
      </c>
      <c r="J800">
        <v>97419</v>
      </c>
      <c r="K800" t="str">
        <f t="shared" si="12"/>
        <v>março</v>
      </c>
      <c r="L800" s="4">
        <v>43539</v>
      </c>
      <c r="M800" s="2">
        <v>0.4513888888888889</v>
      </c>
      <c r="N800" s="1" t="s">
        <v>32</v>
      </c>
      <c r="O800" s="3">
        <v>9278</v>
      </c>
      <c r="P800">
        <v>4761904762</v>
      </c>
      <c r="Q800" s="3">
        <v>4639</v>
      </c>
      <c r="R800">
        <v>98</v>
      </c>
      <c r="S800" s="3">
        <f>G800*SuperMarket_Analysis[[#This Row],[Quantity]]</f>
        <v>9278</v>
      </c>
    </row>
    <row r="801" spans="1:19" x14ac:dyDescent="0.25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177</v>
      </c>
      <c r="F801" s="1" t="s">
        <v>31</v>
      </c>
      <c r="G801" s="3">
        <v>8669</v>
      </c>
      <c r="H801">
        <v>5</v>
      </c>
      <c r="I801" s="3">
        <v>216725</v>
      </c>
      <c r="J801">
        <v>4551225</v>
      </c>
      <c r="K801" t="str">
        <f t="shared" si="12"/>
        <v>fevereiro</v>
      </c>
      <c r="L801" s="4">
        <v>43507</v>
      </c>
      <c r="M801" s="2">
        <v>0.77638888888888891</v>
      </c>
      <c r="N801" s="1" t="s">
        <v>23</v>
      </c>
      <c r="O801" s="3">
        <v>43345</v>
      </c>
      <c r="P801">
        <v>4761904762</v>
      </c>
      <c r="Q801" s="3">
        <v>216725</v>
      </c>
      <c r="R801">
        <v>94</v>
      </c>
      <c r="S801" s="3">
        <f>G801*SuperMarket_Analysis[[#This Row],[Quantity]]</f>
        <v>43345</v>
      </c>
    </row>
    <row r="802" spans="1:19" x14ac:dyDescent="0.25">
      <c r="A802" s="1" t="s">
        <v>836</v>
      </c>
      <c r="B802" s="1" t="s">
        <v>41</v>
      </c>
      <c r="C802" s="1" t="s">
        <v>42</v>
      </c>
      <c r="D802" s="1" t="s">
        <v>27</v>
      </c>
      <c r="E802" s="1" t="s">
        <v>177</v>
      </c>
      <c r="F802" s="1" t="s">
        <v>35</v>
      </c>
      <c r="G802" s="3">
        <v>2301</v>
      </c>
      <c r="H802">
        <v>6</v>
      </c>
      <c r="I802" s="3">
        <v>6903</v>
      </c>
      <c r="J802">
        <v>144963</v>
      </c>
      <c r="K802" t="str">
        <f t="shared" si="12"/>
        <v>janeiro</v>
      </c>
      <c r="L802" s="4">
        <v>43477</v>
      </c>
      <c r="M802" s="2">
        <v>0.69791666666666663</v>
      </c>
      <c r="N802" s="1" t="s">
        <v>23</v>
      </c>
      <c r="O802" s="3">
        <v>13806</v>
      </c>
      <c r="P802">
        <v>4761904762</v>
      </c>
      <c r="Q802" s="3">
        <v>6903</v>
      </c>
      <c r="R802">
        <v>79</v>
      </c>
      <c r="S802" s="3">
        <f>G802*SuperMarket_Analysis[[#This Row],[Quantity]]</f>
        <v>13806</v>
      </c>
    </row>
    <row r="803" spans="1:19" x14ac:dyDescent="0.25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3">
        <v>302</v>
      </c>
      <c r="H803">
        <v>8</v>
      </c>
      <c r="I803" s="3">
        <v>1208</v>
      </c>
      <c r="J803">
        <v>25368</v>
      </c>
      <c r="K803" t="str">
        <f t="shared" si="12"/>
        <v>março</v>
      </c>
      <c r="L803" s="4">
        <v>43527</v>
      </c>
      <c r="M803" s="2">
        <v>0.8125</v>
      </c>
      <c r="N803" s="1" t="s">
        <v>23</v>
      </c>
      <c r="O803" s="3">
        <v>2416</v>
      </c>
      <c r="P803">
        <v>4761904762</v>
      </c>
      <c r="Q803" s="3">
        <v>1208</v>
      </c>
      <c r="R803">
        <v>51</v>
      </c>
      <c r="S803" s="3">
        <f>G803*SuperMarket_Analysis[[#This Row],[Quantity]]</f>
        <v>2416</v>
      </c>
    </row>
    <row r="804" spans="1:19" x14ac:dyDescent="0.25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177</v>
      </c>
      <c r="F804" s="1" t="s">
        <v>45</v>
      </c>
      <c r="G804" s="3">
        <v>6739</v>
      </c>
      <c r="H804">
        <v>7</v>
      </c>
      <c r="I804" s="3">
        <v>235865</v>
      </c>
      <c r="J804">
        <v>4953165</v>
      </c>
      <c r="K804" t="str">
        <f t="shared" si="12"/>
        <v>março</v>
      </c>
      <c r="L804" s="4">
        <v>43547</v>
      </c>
      <c r="M804" s="2">
        <v>0.55763888888888891</v>
      </c>
      <c r="N804" s="1" t="s">
        <v>23</v>
      </c>
      <c r="O804" s="3">
        <v>47173</v>
      </c>
      <c r="P804">
        <v>4761904762</v>
      </c>
      <c r="Q804" s="3">
        <v>235865</v>
      </c>
      <c r="R804">
        <v>69</v>
      </c>
      <c r="S804" s="3">
        <f>G804*SuperMarket_Analysis[[#This Row],[Quantity]]</f>
        <v>47173</v>
      </c>
    </row>
    <row r="805" spans="1:19" x14ac:dyDescent="0.25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45</v>
      </c>
      <c r="G805" s="3">
        <v>4896</v>
      </c>
      <c r="H805">
        <v>9</v>
      </c>
      <c r="I805" s="3">
        <v>22032</v>
      </c>
      <c r="J805">
        <v>462672</v>
      </c>
      <c r="K805" t="str">
        <f t="shared" si="12"/>
        <v>março</v>
      </c>
      <c r="L805" s="4">
        <v>43528</v>
      </c>
      <c r="M805" s="2">
        <v>0.47708333333333336</v>
      </c>
      <c r="N805" s="1" t="s">
        <v>29</v>
      </c>
      <c r="O805" s="3">
        <v>44064</v>
      </c>
      <c r="P805">
        <v>4761904762</v>
      </c>
      <c r="Q805" s="3">
        <v>22032</v>
      </c>
      <c r="R805">
        <v>8</v>
      </c>
      <c r="S805" s="3">
        <f>G805*SuperMarket_Analysis[[#This Row],[Quantity]]</f>
        <v>44064</v>
      </c>
    </row>
    <row r="806" spans="1:19" x14ac:dyDescent="0.25">
      <c r="A806" s="1" t="s">
        <v>840</v>
      </c>
      <c r="B806" s="1" t="s">
        <v>41</v>
      </c>
      <c r="C806" s="1" t="s">
        <v>42</v>
      </c>
      <c r="D806" s="1" t="s">
        <v>20</v>
      </c>
      <c r="E806" s="1" t="s">
        <v>21</v>
      </c>
      <c r="F806" s="1" t="s">
        <v>28</v>
      </c>
      <c r="G806" s="3">
        <v>7559</v>
      </c>
      <c r="H806">
        <v>9</v>
      </c>
      <c r="I806" s="3">
        <v>340155</v>
      </c>
      <c r="J806">
        <v>7143255</v>
      </c>
      <c r="K806" t="str">
        <f t="shared" si="12"/>
        <v>fevereiro</v>
      </c>
      <c r="L806" s="4">
        <v>43519</v>
      </c>
      <c r="M806" s="2">
        <v>0.46666666666666667</v>
      </c>
      <c r="N806" s="1" t="s">
        <v>29</v>
      </c>
      <c r="O806" s="3">
        <v>68031</v>
      </c>
      <c r="P806">
        <v>4761904762</v>
      </c>
      <c r="Q806" s="3">
        <v>340155</v>
      </c>
      <c r="R806">
        <v>8</v>
      </c>
      <c r="S806" s="3">
        <f>G806*SuperMarket_Analysis[[#This Row],[Quantity]]</f>
        <v>68031</v>
      </c>
    </row>
    <row r="807" spans="1:19" x14ac:dyDescent="0.25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3">
        <v>7747</v>
      </c>
      <c r="H807">
        <v>4</v>
      </c>
      <c r="I807" s="3">
        <v>15494</v>
      </c>
      <c r="J807">
        <v>325374</v>
      </c>
      <c r="K807" t="str">
        <f t="shared" si="12"/>
        <v>março</v>
      </c>
      <c r="L807" s="4">
        <v>43541</v>
      </c>
      <c r="M807" s="2">
        <v>0.69166666666666665</v>
      </c>
      <c r="N807" s="1" t="s">
        <v>29</v>
      </c>
      <c r="O807" s="3">
        <v>30988</v>
      </c>
      <c r="P807">
        <v>4761904762</v>
      </c>
      <c r="Q807" s="3">
        <v>15494</v>
      </c>
      <c r="R807">
        <v>42</v>
      </c>
      <c r="S807" s="3">
        <f>G807*SuperMarket_Analysis[[#This Row],[Quantity]]</f>
        <v>30988</v>
      </c>
    </row>
    <row r="808" spans="1:19" x14ac:dyDescent="0.25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35</v>
      </c>
      <c r="G808" s="3">
        <v>9318</v>
      </c>
      <c r="H808">
        <v>2</v>
      </c>
      <c r="I808" s="3">
        <v>9318</v>
      </c>
      <c r="J808">
        <v>195678</v>
      </c>
      <c r="K808" t="str">
        <f t="shared" si="12"/>
        <v>janeiro</v>
      </c>
      <c r="L808" s="4">
        <v>43481</v>
      </c>
      <c r="M808" s="2">
        <v>0.77847222222222223</v>
      </c>
      <c r="N808" s="1" t="s">
        <v>32</v>
      </c>
      <c r="O808" s="3">
        <v>18636</v>
      </c>
      <c r="P808">
        <v>4761904762</v>
      </c>
      <c r="Q808" s="3">
        <v>9318</v>
      </c>
      <c r="R808">
        <v>85</v>
      </c>
      <c r="S808" s="3">
        <f>G808*SuperMarket_Analysis[[#This Row],[Quantity]]</f>
        <v>18636</v>
      </c>
    </row>
    <row r="809" spans="1:19" x14ac:dyDescent="0.25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3">
        <v>5023</v>
      </c>
      <c r="H809">
        <v>4</v>
      </c>
      <c r="I809" s="3">
        <v>10046</v>
      </c>
      <c r="J809">
        <v>210966</v>
      </c>
      <c r="K809" t="str">
        <f t="shared" si="12"/>
        <v>janeiro</v>
      </c>
      <c r="L809" s="4">
        <v>43473</v>
      </c>
      <c r="M809" s="2">
        <v>0.71666666666666667</v>
      </c>
      <c r="N809" s="1" t="s">
        <v>29</v>
      </c>
      <c r="O809" s="3">
        <v>20092</v>
      </c>
      <c r="P809">
        <v>4761904762</v>
      </c>
      <c r="Q809" s="3">
        <v>10046</v>
      </c>
      <c r="R809">
        <v>9</v>
      </c>
      <c r="S809" s="3">
        <f>G809*SuperMarket_Analysis[[#This Row],[Quantity]]</f>
        <v>20092</v>
      </c>
    </row>
    <row r="810" spans="1:19" x14ac:dyDescent="0.25">
      <c r="A810" s="1" t="s">
        <v>844</v>
      </c>
      <c r="B810" s="1" t="s">
        <v>41</v>
      </c>
      <c r="C810" s="1" t="s">
        <v>42</v>
      </c>
      <c r="D810" s="1" t="s">
        <v>27</v>
      </c>
      <c r="E810" s="1" t="s">
        <v>21</v>
      </c>
      <c r="F810" s="1" t="s">
        <v>22</v>
      </c>
      <c r="G810" s="3">
        <v>1775</v>
      </c>
      <c r="H810">
        <v>1</v>
      </c>
      <c r="I810" s="3">
        <v>8875</v>
      </c>
      <c r="J810">
        <v>186375</v>
      </c>
      <c r="K810" t="str">
        <f t="shared" si="12"/>
        <v>janeiro</v>
      </c>
      <c r="L810" s="4">
        <v>43479</v>
      </c>
      <c r="M810" s="2">
        <v>0.44305555555555554</v>
      </c>
      <c r="N810" s="1" t="s">
        <v>29</v>
      </c>
      <c r="O810" s="3">
        <v>1775</v>
      </c>
      <c r="P810">
        <v>4761904762</v>
      </c>
      <c r="Q810" s="3">
        <v>8875</v>
      </c>
      <c r="R810">
        <v>86</v>
      </c>
      <c r="S810" s="3">
        <f>G810*SuperMarket_Analysis[[#This Row],[Quantity]]</f>
        <v>1775</v>
      </c>
    </row>
    <row r="811" spans="1:19" x14ac:dyDescent="0.25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45</v>
      </c>
      <c r="G811" s="3">
        <v>6218</v>
      </c>
      <c r="H811">
        <v>10</v>
      </c>
      <c r="I811" s="3">
        <v>3109</v>
      </c>
      <c r="J811">
        <v>65289</v>
      </c>
      <c r="K811" t="str">
        <f t="shared" si="12"/>
        <v>janeiro</v>
      </c>
      <c r="L811" s="4">
        <v>43496</v>
      </c>
      <c r="M811" s="2">
        <v>0.43958333333333333</v>
      </c>
      <c r="N811" s="1" t="s">
        <v>23</v>
      </c>
      <c r="O811" s="3">
        <v>6218</v>
      </c>
      <c r="P811">
        <v>4761904762</v>
      </c>
      <c r="Q811" s="3">
        <v>3109</v>
      </c>
      <c r="R811">
        <v>6</v>
      </c>
      <c r="S811" s="3">
        <f>G811*SuperMarket_Analysis[[#This Row],[Quantity]]</f>
        <v>62180</v>
      </c>
    </row>
    <row r="812" spans="1:19" x14ac:dyDescent="0.25">
      <c r="A812" s="1" t="s">
        <v>846</v>
      </c>
      <c r="B812" s="1" t="s">
        <v>41</v>
      </c>
      <c r="C812" s="1" t="s">
        <v>42</v>
      </c>
      <c r="D812" s="1" t="s">
        <v>27</v>
      </c>
      <c r="E812" s="1" t="s">
        <v>177</v>
      </c>
      <c r="F812" s="1" t="s">
        <v>22</v>
      </c>
      <c r="G812" s="3">
        <v>1075</v>
      </c>
      <c r="H812">
        <v>8</v>
      </c>
      <c r="I812" s="3">
        <v>43</v>
      </c>
      <c r="J812">
        <v>903</v>
      </c>
      <c r="K812" t="str">
        <f t="shared" si="12"/>
        <v>março</v>
      </c>
      <c r="L812" s="4">
        <v>43539</v>
      </c>
      <c r="M812" s="2">
        <v>0.60972222222222228</v>
      </c>
      <c r="N812" s="1" t="s">
        <v>23</v>
      </c>
      <c r="O812" s="3">
        <v>86</v>
      </c>
      <c r="P812">
        <v>4761904762</v>
      </c>
      <c r="Q812" s="3">
        <v>43</v>
      </c>
      <c r="R812">
        <v>62</v>
      </c>
      <c r="S812" s="3">
        <f>G812*SuperMarket_Analysis[[#This Row],[Quantity]]</f>
        <v>8600</v>
      </c>
    </row>
    <row r="813" spans="1:19" x14ac:dyDescent="0.25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3">
        <v>4026</v>
      </c>
      <c r="H813">
        <v>10</v>
      </c>
      <c r="I813" s="3">
        <v>2013</v>
      </c>
      <c r="J813">
        <v>42273</v>
      </c>
      <c r="K813" t="str">
        <f t="shared" si="12"/>
        <v>fevereiro</v>
      </c>
      <c r="L813" s="4">
        <v>43520</v>
      </c>
      <c r="M813" s="2">
        <v>0.75416666666666665</v>
      </c>
      <c r="N813" s="1" t="s">
        <v>32</v>
      </c>
      <c r="O813" s="3">
        <v>4026</v>
      </c>
      <c r="P813">
        <v>4761904762</v>
      </c>
      <c r="Q813" s="3">
        <v>2013</v>
      </c>
      <c r="R813">
        <v>5</v>
      </c>
      <c r="S813" s="3">
        <f>G813*SuperMarket_Analysis[[#This Row],[Quantity]]</f>
        <v>40260</v>
      </c>
    </row>
    <row r="814" spans="1:19" x14ac:dyDescent="0.25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35</v>
      </c>
      <c r="G814" s="3">
        <v>6497</v>
      </c>
      <c r="H814">
        <v>5</v>
      </c>
      <c r="I814" s="3">
        <v>162425</v>
      </c>
      <c r="J814">
        <v>3410925</v>
      </c>
      <c r="K814" t="str">
        <f t="shared" si="12"/>
        <v>fevereiro</v>
      </c>
      <c r="L814" s="4">
        <v>43504</v>
      </c>
      <c r="M814" s="2">
        <v>0.53611111111111109</v>
      </c>
      <c r="N814" s="1" t="s">
        <v>32</v>
      </c>
      <c r="O814" s="3">
        <v>32485</v>
      </c>
      <c r="P814">
        <v>4761904762</v>
      </c>
      <c r="Q814" s="3">
        <v>162425</v>
      </c>
      <c r="R814">
        <v>65</v>
      </c>
      <c r="S814" s="3">
        <f>G814*SuperMarket_Analysis[[#This Row],[Quantity]]</f>
        <v>32485</v>
      </c>
    </row>
    <row r="815" spans="1:19" x14ac:dyDescent="0.25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177</v>
      </c>
      <c r="F815" s="1" t="s">
        <v>28</v>
      </c>
      <c r="G815" s="3">
        <v>9515</v>
      </c>
      <c r="H815">
        <v>1</v>
      </c>
      <c r="I815" s="3">
        <v>47575</v>
      </c>
      <c r="J815">
        <v>999075</v>
      </c>
      <c r="K815" t="str">
        <f t="shared" si="12"/>
        <v>março</v>
      </c>
      <c r="L815" s="4">
        <v>43546</v>
      </c>
      <c r="M815" s="2">
        <v>0.58333333333333337</v>
      </c>
      <c r="N815" s="1" t="s">
        <v>29</v>
      </c>
      <c r="O815" s="3">
        <v>9515</v>
      </c>
      <c r="P815">
        <v>4761904762</v>
      </c>
      <c r="Q815" s="3">
        <v>47575</v>
      </c>
      <c r="R815">
        <v>6</v>
      </c>
      <c r="S815" s="3">
        <f>G815*SuperMarket_Analysis[[#This Row],[Quantity]]</f>
        <v>9515</v>
      </c>
    </row>
    <row r="816" spans="1:19" x14ac:dyDescent="0.25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3">
        <v>4862</v>
      </c>
      <c r="H816">
        <v>8</v>
      </c>
      <c r="I816" s="3">
        <v>19448</v>
      </c>
      <c r="J816">
        <v>408408</v>
      </c>
      <c r="K816" t="str">
        <f t="shared" si="12"/>
        <v>janeiro</v>
      </c>
      <c r="L816" s="4">
        <v>43489</v>
      </c>
      <c r="M816" s="2">
        <v>0.45624999999999999</v>
      </c>
      <c r="N816" s="1" t="s">
        <v>29</v>
      </c>
      <c r="O816" s="3">
        <v>38896</v>
      </c>
      <c r="P816">
        <v>4761904762</v>
      </c>
      <c r="Q816" s="3">
        <v>19448</v>
      </c>
      <c r="R816">
        <v>5</v>
      </c>
      <c r="S816" s="3">
        <f>G816*SuperMarket_Analysis[[#This Row],[Quantity]]</f>
        <v>38896</v>
      </c>
    </row>
    <row r="817" spans="1:19" x14ac:dyDescent="0.25">
      <c r="A817" s="1" t="s">
        <v>851</v>
      </c>
      <c r="B817" s="1" t="s">
        <v>41</v>
      </c>
      <c r="C817" s="1" t="s">
        <v>42</v>
      </c>
      <c r="D817" s="1" t="s">
        <v>27</v>
      </c>
      <c r="E817" s="1" t="s">
        <v>21</v>
      </c>
      <c r="F817" s="1" t="s">
        <v>43</v>
      </c>
      <c r="G817" s="3">
        <v>5321</v>
      </c>
      <c r="H817">
        <v>8</v>
      </c>
      <c r="I817" s="3">
        <v>21284</v>
      </c>
      <c r="J817">
        <v>446964</v>
      </c>
      <c r="K817" t="str">
        <f t="shared" si="12"/>
        <v>março</v>
      </c>
      <c r="L817" s="4">
        <v>43538</v>
      </c>
      <c r="M817" s="2">
        <v>0.69791666666666663</v>
      </c>
      <c r="N817" s="1" t="s">
        <v>23</v>
      </c>
      <c r="O817" s="3">
        <v>42568</v>
      </c>
      <c r="P817">
        <v>4761904762</v>
      </c>
      <c r="Q817" s="3">
        <v>21284</v>
      </c>
      <c r="R817">
        <v>5</v>
      </c>
      <c r="S817" s="3">
        <f>G817*SuperMarket_Analysis[[#This Row],[Quantity]]</f>
        <v>42568</v>
      </c>
    </row>
    <row r="818" spans="1:19" x14ac:dyDescent="0.25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45</v>
      </c>
      <c r="G818" s="3">
        <v>4544</v>
      </c>
      <c r="H818">
        <v>7</v>
      </c>
      <c r="I818" s="3">
        <v>15904</v>
      </c>
      <c r="J818">
        <v>333984</v>
      </c>
      <c r="K818" t="str">
        <f t="shared" si="12"/>
        <v>janeiro</v>
      </c>
      <c r="L818" s="4">
        <v>43488</v>
      </c>
      <c r="M818" s="2">
        <v>0.46875</v>
      </c>
      <c r="N818" s="1" t="s">
        <v>29</v>
      </c>
      <c r="O818" s="3">
        <v>31808</v>
      </c>
      <c r="P818">
        <v>4761904762</v>
      </c>
      <c r="Q818" s="3">
        <v>15904</v>
      </c>
      <c r="R818">
        <v>92</v>
      </c>
      <c r="S818" s="3">
        <f>G818*SuperMarket_Analysis[[#This Row],[Quantity]]</f>
        <v>31808</v>
      </c>
    </row>
    <row r="819" spans="1:19" x14ac:dyDescent="0.25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177</v>
      </c>
      <c r="F819" s="1" t="s">
        <v>43</v>
      </c>
      <c r="G819" s="3">
        <v>3388</v>
      </c>
      <c r="H819">
        <v>8</v>
      </c>
      <c r="I819" s="3">
        <v>13552</v>
      </c>
      <c r="J819">
        <v>284592</v>
      </c>
      <c r="K819" t="str">
        <f t="shared" si="12"/>
        <v>janeiro</v>
      </c>
      <c r="L819" s="4">
        <v>43484</v>
      </c>
      <c r="M819" s="2">
        <v>0.85347222222222219</v>
      </c>
      <c r="N819" s="1" t="s">
        <v>23</v>
      </c>
      <c r="O819" s="3">
        <v>27104</v>
      </c>
      <c r="P819">
        <v>4761904762</v>
      </c>
      <c r="Q819" s="3">
        <v>13552</v>
      </c>
      <c r="R819">
        <v>96</v>
      </c>
      <c r="S819" s="3">
        <f>G819*SuperMarket_Analysis[[#This Row],[Quantity]]</f>
        <v>27104</v>
      </c>
    </row>
    <row r="820" spans="1:19" x14ac:dyDescent="0.25">
      <c r="A820" s="1" t="s">
        <v>854</v>
      </c>
      <c r="B820" s="1" t="s">
        <v>41</v>
      </c>
      <c r="C820" s="1" t="s">
        <v>42</v>
      </c>
      <c r="D820" s="1" t="s">
        <v>20</v>
      </c>
      <c r="E820" s="1" t="s">
        <v>177</v>
      </c>
      <c r="F820" s="1" t="s">
        <v>22</v>
      </c>
      <c r="G820" s="3">
        <v>9616</v>
      </c>
      <c r="H820">
        <v>4</v>
      </c>
      <c r="I820" s="3">
        <v>19232</v>
      </c>
      <c r="J820">
        <v>403872</v>
      </c>
      <c r="K820" t="str">
        <f t="shared" si="12"/>
        <v>janeiro</v>
      </c>
      <c r="L820" s="4">
        <v>43492</v>
      </c>
      <c r="M820" s="2">
        <v>0.8354166666666667</v>
      </c>
      <c r="N820" s="1" t="s">
        <v>32</v>
      </c>
      <c r="O820" s="3">
        <v>38464</v>
      </c>
      <c r="P820">
        <v>4761904762</v>
      </c>
      <c r="Q820" s="3">
        <v>19232</v>
      </c>
      <c r="R820">
        <v>84</v>
      </c>
      <c r="S820" s="3">
        <f>G820*SuperMarket_Analysis[[#This Row],[Quantity]]</f>
        <v>38464</v>
      </c>
    </row>
    <row r="821" spans="1:19" x14ac:dyDescent="0.25">
      <c r="A821" s="1" t="s">
        <v>855</v>
      </c>
      <c r="B821" s="1" t="s">
        <v>41</v>
      </c>
      <c r="C821" s="1" t="s">
        <v>42</v>
      </c>
      <c r="D821" s="1" t="s">
        <v>20</v>
      </c>
      <c r="E821" s="1" t="s">
        <v>177</v>
      </c>
      <c r="F821" s="1" t="s">
        <v>43</v>
      </c>
      <c r="G821" s="3">
        <v>4716</v>
      </c>
      <c r="H821">
        <v>5</v>
      </c>
      <c r="I821" s="3">
        <v>1179</v>
      </c>
      <c r="J821">
        <v>24759</v>
      </c>
      <c r="K821" t="str">
        <f t="shared" si="12"/>
        <v>fevereiro</v>
      </c>
      <c r="L821" s="4">
        <v>43499</v>
      </c>
      <c r="M821" s="2">
        <v>0.60763888888888884</v>
      </c>
      <c r="N821" s="1" t="s">
        <v>32</v>
      </c>
      <c r="O821" s="3">
        <v>2358</v>
      </c>
      <c r="P821">
        <v>4761904762</v>
      </c>
      <c r="Q821" s="3">
        <v>1179</v>
      </c>
      <c r="R821">
        <v>6</v>
      </c>
      <c r="S821" s="3">
        <f>G821*SuperMarket_Analysis[[#This Row],[Quantity]]</f>
        <v>23580</v>
      </c>
    </row>
    <row r="822" spans="1:19" x14ac:dyDescent="0.25">
      <c r="A822" s="1" t="s">
        <v>856</v>
      </c>
      <c r="B822" s="1" t="s">
        <v>41</v>
      </c>
      <c r="C822" s="1" t="s">
        <v>42</v>
      </c>
      <c r="D822" s="1" t="s">
        <v>27</v>
      </c>
      <c r="E822" s="1" t="s">
        <v>177</v>
      </c>
      <c r="F822" s="1" t="s">
        <v>28</v>
      </c>
      <c r="G822" s="3">
        <v>5289</v>
      </c>
      <c r="H822">
        <v>4</v>
      </c>
      <c r="I822" s="3">
        <v>10578</v>
      </c>
      <c r="J822">
        <v>222138</v>
      </c>
      <c r="K822" t="str">
        <f t="shared" si="12"/>
        <v>março</v>
      </c>
      <c r="L822" s="4">
        <v>43549</v>
      </c>
      <c r="M822" s="2">
        <v>0.68888888888888888</v>
      </c>
      <c r="N822" s="1" t="s">
        <v>23</v>
      </c>
      <c r="O822" s="3">
        <v>21156</v>
      </c>
      <c r="P822">
        <v>4761904762</v>
      </c>
      <c r="Q822" s="3">
        <v>10578</v>
      </c>
      <c r="R822">
        <v>67</v>
      </c>
      <c r="S822" s="3">
        <f>G822*SuperMarket_Analysis[[#This Row],[Quantity]]</f>
        <v>21156</v>
      </c>
    </row>
    <row r="823" spans="1:19" x14ac:dyDescent="0.25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3">
        <v>4768</v>
      </c>
      <c r="H823">
        <v>2</v>
      </c>
      <c r="I823" s="3">
        <v>4768</v>
      </c>
      <c r="J823">
        <v>100128</v>
      </c>
      <c r="K823" t="str">
        <f t="shared" si="12"/>
        <v>fevereiro</v>
      </c>
      <c r="L823" s="4">
        <v>43520</v>
      </c>
      <c r="M823" s="2">
        <v>0.4236111111111111</v>
      </c>
      <c r="N823" s="1" t="s">
        <v>32</v>
      </c>
      <c r="O823" s="3">
        <v>9536</v>
      </c>
      <c r="P823">
        <v>4761904762</v>
      </c>
      <c r="Q823" s="3">
        <v>4768</v>
      </c>
      <c r="R823">
        <v>41</v>
      </c>
      <c r="S823" s="3">
        <f>G823*SuperMarket_Analysis[[#This Row],[Quantity]]</f>
        <v>9536</v>
      </c>
    </row>
    <row r="824" spans="1:19" x14ac:dyDescent="0.25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177</v>
      </c>
      <c r="F824" s="1" t="s">
        <v>35</v>
      </c>
      <c r="G824" s="3">
        <v>1017</v>
      </c>
      <c r="H824">
        <v>1</v>
      </c>
      <c r="I824" s="3">
        <v>5085</v>
      </c>
      <c r="J824">
        <v>106785</v>
      </c>
      <c r="K824" t="str">
        <f t="shared" si="12"/>
        <v>fevereiro</v>
      </c>
      <c r="L824" s="4">
        <v>43503</v>
      </c>
      <c r="M824" s="2">
        <v>0.59375</v>
      </c>
      <c r="N824" s="1" t="s">
        <v>29</v>
      </c>
      <c r="O824" s="3">
        <v>1017</v>
      </c>
      <c r="P824">
        <v>4761904762</v>
      </c>
      <c r="Q824" s="3">
        <v>5085</v>
      </c>
      <c r="R824">
        <v>59</v>
      </c>
      <c r="S824" s="3">
        <f>G824*SuperMarket_Analysis[[#This Row],[Quantity]]</f>
        <v>1017</v>
      </c>
    </row>
    <row r="825" spans="1:19" x14ac:dyDescent="0.25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3">
        <v>6871</v>
      </c>
      <c r="H825">
        <v>3</v>
      </c>
      <c r="I825" s="3">
        <v>103065</v>
      </c>
      <c r="J825">
        <v>2164365</v>
      </c>
      <c r="K825" t="str">
        <f t="shared" si="12"/>
        <v>março</v>
      </c>
      <c r="L825" s="4">
        <v>43528</v>
      </c>
      <c r="M825" s="2">
        <v>0.4201388888888889</v>
      </c>
      <c r="N825" s="1" t="s">
        <v>29</v>
      </c>
      <c r="O825" s="3">
        <v>20613</v>
      </c>
      <c r="P825">
        <v>4761904762</v>
      </c>
      <c r="Q825" s="3">
        <v>103065</v>
      </c>
      <c r="R825">
        <v>87</v>
      </c>
      <c r="S825" s="3">
        <f>G825*SuperMarket_Analysis[[#This Row],[Quantity]]</f>
        <v>20613</v>
      </c>
    </row>
    <row r="826" spans="1:19" x14ac:dyDescent="0.25">
      <c r="A826" s="1" t="s">
        <v>860</v>
      </c>
      <c r="B826" s="1" t="s">
        <v>41</v>
      </c>
      <c r="C826" s="1" t="s">
        <v>42</v>
      </c>
      <c r="D826" s="1" t="s">
        <v>20</v>
      </c>
      <c r="E826" s="1" t="s">
        <v>21</v>
      </c>
      <c r="F826" s="1" t="s">
        <v>35</v>
      </c>
      <c r="G826" s="3">
        <v>6008</v>
      </c>
      <c r="H826">
        <v>7</v>
      </c>
      <c r="I826" s="3">
        <v>21028</v>
      </c>
      <c r="J826">
        <v>441588</v>
      </c>
      <c r="K826" t="str">
        <f t="shared" si="12"/>
        <v>fevereiro</v>
      </c>
      <c r="L826" s="4">
        <v>43510</v>
      </c>
      <c r="M826" s="2">
        <v>0.48333333333333334</v>
      </c>
      <c r="N826" s="1" t="s">
        <v>32</v>
      </c>
      <c r="O826" s="3">
        <v>42056</v>
      </c>
      <c r="P826">
        <v>4761904762</v>
      </c>
      <c r="Q826" s="3">
        <v>21028</v>
      </c>
      <c r="R826">
        <v>45</v>
      </c>
      <c r="S826" s="3">
        <f>G826*SuperMarket_Analysis[[#This Row],[Quantity]]</f>
        <v>42056</v>
      </c>
    </row>
    <row r="827" spans="1:19" x14ac:dyDescent="0.25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35</v>
      </c>
      <c r="G827" s="3">
        <v>2201</v>
      </c>
      <c r="H827">
        <v>4</v>
      </c>
      <c r="I827" s="3">
        <v>4402</v>
      </c>
      <c r="J827">
        <v>92442</v>
      </c>
      <c r="K827" t="str">
        <f t="shared" si="12"/>
        <v>janeiro</v>
      </c>
      <c r="L827" s="4">
        <v>43494</v>
      </c>
      <c r="M827" s="2">
        <v>0.76041666666666663</v>
      </c>
      <c r="N827" s="1" t="s">
        <v>32</v>
      </c>
      <c r="O827" s="3">
        <v>8804</v>
      </c>
      <c r="P827">
        <v>4761904762</v>
      </c>
      <c r="Q827" s="3">
        <v>4402</v>
      </c>
      <c r="R827">
        <v>66</v>
      </c>
      <c r="S827" s="3">
        <f>G827*SuperMarket_Analysis[[#This Row],[Quantity]]</f>
        <v>8804</v>
      </c>
    </row>
    <row r="828" spans="1:19" x14ac:dyDescent="0.25">
      <c r="A828" s="1" t="s">
        <v>862</v>
      </c>
      <c r="B828" s="1" t="s">
        <v>41</v>
      </c>
      <c r="C828" s="1" t="s">
        <v>42</v>
      </c>
      <c r="D828" s="1" t="s">
        <v>20</v>
      </c>
      <c r="E828" s="1" t="s">
        <v>21</v>
      </c>
      <c r="F828" s="1" t="s">
        <v>22</v>
      </c>
      <c r="G828" s="3">
        <v>7211</v>
      </c>
      <c r="H828">
        <v>9</v>
      </c>
      <c r="I828" s="3">
        <v>324495</v>
      </c>
      <c r="J828">
        <v>6814395</v>
      </c>
      <c r="K828" t="str">
        <f t="shared" si="12"/>
        <v>janeiro</v>
      </c>
      <c r="L828" s="4">
        <v>43493</v>
      </c>
      <c r="M828" s="2">
        <v>0.57847222222222228</v>
      </c>
      <c r="N828" s="1" t="s">
        <v>32</v>
      </c>
      <c r="O828" s="3">
        <v>64899</v>
      </c>
      <c r="P828">
        <v>4761904762</v>
      </c>
      <c r="Q828" s="3">
        <v>324495</v>
      </c>
      <c r="R828">
        <v>77</v>
      </c>
      <c r="S828" s="3">
        <f>G828*SuperMarket_Analysis[[#This Row],[Quantity]]</f>
        <v>64899</v>
      </c>
    </row>
    <row r="829" spans="1:19" x14ac:dyDescent="0.25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177</v>
      </c>
      <c r="F829" s="1" t="s">
        <v>45</v>
      </c>
      <c r="G829" s="3">
        <v>4128</v>
      </c>
      <c r="H829">
        <v>3</v>
      </c>
      <c r="I829" s="3">
        <v>6192</v>
      </c>
      <c r="J829">
        <v>130032</v>
      </c>
      <c r="K829" t="str">
        <f t="shared" si="12"/>
        <v>março</v>
      </c>
      <c r="L829" s="4">
        <v>43550</v>
      </c>
      <c r="M829" s="2">
        <v>0.77569444444444446</v>
      </c>
      <c r="N829" s="1" t="s">
        <v>32</v>
      </c>
      <c r="O829" s="3">
        <v>12384</v>
      </c>
      <c r="P829">
        <v>4761904762</v>
      </c>
      <c r="Q829" s="3">
        <v>6192</v>
      </c>
      <c r="R829">
        <v>85</v>
      </c>
      <c r="S829" s="3">
        <f>G829*SuperMarket_Analysis[[#This Row],[Quantity]]</f>
        <v>12384</v>
      </c>
    </row>
    <row r="830" spans="1:19" x14ac:dyDescent="0.25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177</v>
      </c>
      <c r="F830" s="1" t="s">
        <v>28</v>
      </c>
      <c r="G830" s="3">
        <v>6495</v>
      </c>
      <c r="H830">
        <v>10</v>
      </c>
      <c r="I830" s="3">
        <v>32475</v>
      </c>
      <c r="J830">
        <v>681975</v>
      </c>
      <c r="K830" t="str">
        <f t="shared" si="12"/>
        <v>março</v>
      </c>
      <c r="L830" s="4">
        <v>43548</v>
      </c>
      <c r="M830" s="2">
        <v>0.76875000000000004</v>
      </c>
      <c r="N830" s="1" t="s">
        <v>29</v>
      </c>
      <c r="O830" s="3">
        <v>6495</v>
      </c>
      <c r="P830">
        <v>4761904762</v>
      </c>
      <c r="Q830" s="3">
        <v>32475</v>
      </c>
      <c r="R830">
        <v>52</v>
      </c>
      <c r="S830" s="3">
        <f>G830*SuperMarket_Analysis[[#This Row],[Quantity]]</f>
        <v>64950</v>
      </c>
    </row>
    <row r="831" spans="1:19" x14ac:dyDescent="0.25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3">
        <v>7422</v>
      </c>
      <c r="H831">
        <v>10</v>
      </c>
      <c r="I831" s="3">
        <v>3711</v>
      </c>
      <c r="J831">
        <v>77931</v>
      </c>
      <c r="K831" t="str">
        <f t="shared" si="12"/>
        <v>janeiro</v>
      </c>
      <c r="L831" s="4">
        <v>43466</v>
      </c>
      <c r="M831" s="2">
        <v>0.61250000000000004</v>
      </c>
      <c r="N831" s="1" t="s">
        <v>32</v>
      </c>
      <c r="O831" s="3">
        <v>7422</v>
      </c>
      <c r="P831">
        <v>4761904762</v>
      </c>
      <c r="Q831" s="3">
        <v>3711</v>
      </c>
      <c r="R831">
        <v>43</v>
      </c>
      <c r="S831" s="3">
        <f>G831*SuperMarket_Analysis[[#This Row],[Quantity]]</f>
        <v>74220</v>
      </c>
    </row>
    <row r="832" spans="1:19" x14ac:dyDescent="0.25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177</v>
      </c>
      <c r="F832" s="1" t="s">
        <v>28</v>
      </c>
      <c r="G832" s="3">
        <v>1056</v>
      </c>
      <c r="H832">
        <v>8</v>
      </c>
      <c r="I832" s="3">
        <v>4224</v>
      </c>
      <c r="J832">
        <v>88704</v>
      </c>
      <c r="K832" t="str">
        <f t="shared" si="12"/>
        <v>janeiro</v>
      </c>
      <c r="L832" s="4">
        <v>43489</v>
      </c>
      <c r="M832" s="2">
        <v>0.73819444444444449</v>
      </c>
      <c r="N832" s="1" t="s">
        <v>29</v>
      </c>
      <c r="O832" s="3">
        <v>8448</v>
      </c>
      <c r="P832">
        <v>4761904762</v>
      </c>
      <c r="Q832" s="3">
        <v>4224</v>
      </c>
      <c r="R832">
        <v>76</v>
      </c>
      <c r="S832" s="3">
        <f>G832*SuperMarket_Analysis[[#This Row],[Quantity]]</f>
        <v>8448</v>
      </c>
    </row>
    <row r="833" spans="1:19" x14ac:dyDescent="0.25">
      <c r="A833" s="1" t="s">
        <v>867</v>
      </c>
      <c r="B833" s="1" t="s">
        <v>41</v>
      </c>
      <c r="C833" s="1" t="s">
        <v>42</v>
      </c>
      <c r="D833" s="1" t="s">
        <v>27</v>
      </c>
      <c r="E833" s="1" t="s">
        <v>177</v>
      </c>
      <c r="F833" s="1" t="s">
        <v>22</v>
      </c>
      <c r="G833" s="3">
        <v>6257</v>
      </c>
      <c r="H833">
        <v>4</v>
      </c>
      <c r="I833" s="3">
        <v>12514</v>
      </c>
      <c r="J833">
        <v>262794</v>
      </c>
      <c r="K833" t="str">
        <f t="shared" si="12"/>
        <v>fevereiro</v>
      </c>
      <c r="L833" s="4">
        <v>43521</v>
      </c>
      <c r="M833" s="2">
        <v>0.77569444444444446</v>
      </c>
      <c r="N833" s="1" t="s">
        <v>29</v>
      </c>
      <c r="O833" s="3">
        <v>25028</v>
      </c>
      <c r="P833">
        <v>4761904762</v>
      </c>
      <c r="Q833" s="3">
        <v>12514</v>
      </c>
      <c r="R833">
        <v>95</v>
      </c>
      <c r="S833" s="3">
        <f>G833*SuperMarket_Analysis[[#This Row],[Quantity]]</f>
        <v>25028</v>
      </c>
    </row>
    <row r="834" spans="1:19" x14ac:dyDescent="0.25">
      <c r="A834" s="1" t="s">
        <v>868</v>
      </c>
      <c r="B834" s="1" t="s">
        <v>41</v>
      </c>
      <c r="C834" s="1" t="s">
        <v>42</v>
      </c>
      <c r="D834" s="1" t="s">
        <v>20</v>
      </c>
      <c r="E834" s="1" t="s">
        <v>21</v>
      </c>
      <c r="F834" s="1" t="s">
        <v>35</v>
      </c>
      <c r="G834" s="3">
        <v>1185</v>
      </c>
      <c r="H834">
        <v>8</v>
      </c>
      <c r="I834" s="3">
        <v>474</v>
      </c>
      <c r="J834">
        <v>9954</v>
      </c>
      <c r="K834" t="str">
        <f t="shared" ref="K834:K897" si="13">TEXT(L834, "mmmm")</f>
        <v>janeiro</v>
      </c>
      <c r="L834" s="4">
        <v>43474</v>
      </c>
      <c r="M834" s="2">
        <v>0.69027777777777777</v>
      </c>
      <c r="N834" s="1" t="s">
        <v>29</v>
      </c>
      <c r="O834" s="3">
        <v>948</v>
      </c>
      <c r="P834">
        <v>4761904762</v>
      </c>
      <c r="Q834" s="3">
        <v>474</v>
      </c>
      <c r="R834">
        <v>41</v>
      </c>
      <c r="S834" s="3">
        <f>G834*SuperMarket_Analysis[[#This Row],[Quantity]]</f>
        <v>9480</v>
      </c>
    </row>
    <row r="835" spans="1:19" x14ac:dyDescent="0.25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177</v>
      </c>
      <c r="F835" s="1" t="s">
        <v>22</v>
      </c>
      <c r="G835" s="3">
        <v>913</v>
      </c>
      <c r="H835">
        <v>1</v>
      </c>
      <c r="I835" s="3">
        <v>4565</v>
      </c>
      <c r="J835">
        <v>95865</v>
      </c>
      <c r="K835" t="str">
        <f t="shared" si="13"/>
        <v>fevereiro</v>
      </c>
      <c r="L835" s="4">
        <v>43510</v>
      </c>
      <c r="M835" s="2">
        <v>0.61250000000000004</v>
      </c>
      <c r="N835" s="1" t="s">
        <v>23</v>
      </c>
      <c r="O835" s="3">
        <v>913</v>
      </c>
      <c r="P835">
        <v>4761904762</v>
      </c>
      <c r="Q835" s="3">
        <v>4565</v>
      </c>
      <c r="R835">
        <v>92</v>
      </c>
      <c r="S835" s="3">
        <f>G835*SuperMarket_Analysis[[#This Row],[Quantity]]</f>
        <v>913</v>
      </c>
    </row>
    <row r="836" spans="1:19" x14ac:dyDescent="0.25">
      <c r="A836" s="1" t="s">
        <v>870</v>
      </c>
      <c r="B836" s="1" t="s">
        <v>41</v>
      </c>
      <c r="C836" s="1" t="s">
        <v>42</v>
      </c>
      <c r="D836" s="1" t="s">
        <v>20</v>
      </c>
      <c r="E836" s="1" t="s">
        <v>21</v>
      </c>
      <c r="F836" s="1" t="s">
        <v>31</v>
      </c>
      <c r="G836" s="3">
        <v>4073</v>
      </c>
      <c r="H836">
        <v>7</v>
      </c>
      <c r="I836" s="3">
        <v>142555</v>
      </c>
      <c r="J836">
        <v>2993655</v>
      </c>
      <c r="K836" t="str">
        <f t="shared" si="13"/>
        <v>março</v>
      </c>
      <c r="L836" s="4">
        <v>43536</v>
      </c>
      <c r="M836" s="2">
        <v>0.45902777777777776</v>
      </c>
      <c r="N836" s="1" t="s">
        <v>23</v>
      </c>
      <c r="O836" s="3">
        <v>28511</v>
      </c>
      <c r="P836">
        <v>4761904762</v>
      </c>
      <c r="Q836" s="3">
        <v>142555</v>
      </c>
      <c r="R836">
        <v>54</v>
      </c>
      <c r="S836" s="3">
        <f>G836*SuperMarket_Analysis[[#This Row],[Quantity]]</f>
        <v>28511</v>
      </c>
    </row>
    <row r="837" spans="1:19" x14ac:dyDescent="0.25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177</v>
      </c>
      <c r="F837" s="1" t="s">
        <v>45</v>
      </c>
      <c r="G837" s="3">
        <v>5238</v>
      </c>
      <c r="H837">
        <v>1</v>
      </c>
      <c r="I837" s="3">
        <v>2619</v>
      </c>
      <c r="J837">
        <v>54999</v>
      </c>
      <c r="K837" t="str">
        <f t="shared" si="13"/>
        <v>março</v>
      </c>
      <c r="L837" s="4">
        <v>43550</v>
      </c>
      <c r="M837" s="2">
        <v>0.82222222222222219</v>
      </c>
      <c r="N837" s="1" t="s">
        <v>29</v>
      </c>
      <c r="O837" s="3">
        <v>5238</v>
      </c>
      <c r="P837">
        <v>4761904762</v>
      </c>
      <c r="Q837" s="3">
        <v>2619</v>
      </c>
      <c r="R837">
        <v>58</v>
      </c>
      <c r="S837" s="3">
        <f>G837*SuperMarket_Analysis[[#This Row],[Quantity]]</f>
        <v>5238</v>
      </c>
    </row>
    <row r="838" spans="1:19" x14ac:dyDescent="0.25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177</v>
      </c>
      <c r="F838" s="1" t="s">
        <v>45</v>
      </c>
      <c r="G838" s="3">
        <v>3854</v>
      </c>
      <c r="H838">
        <v>5</v>
      </c>
      <c r="I838" s="3">
        <v>9635</v>
      </c>
      <c r="J838">
        <v>202335</v>
      </c>
      <c r="K838" t="str">
        <f t="shared" si="13"/>
        <v>janeiro</v>
      </c>
      <c r="L838" s="4">
        <v>43474</v>
      </c>
      <c r="M838" s="2">
        <v>0.56527777777777777</v>
      </c>
      <c r="N838" s="1" t="s">
        <v>23</v>
      </c>
      <c r="O838" s="3">
        <v>1927</v>
      </c>
      <c r="P838">
        <v>4761904762</v>
      </c>
      <c r="Q838" s="3">
        <v>9635</v>
      </c>
      <c r="R838">
        <v>56</v>
      </c>
      <c r="S838" s="3">
        <f>G838*SuperMarket_Analysis[[#This Row],[Quantity]]</f>
        <v>19270</v>
      </c>
    </row>
    <row r="839" spans="1:19" x14ac:dyDescent="0.25">
      <c r="A839" s="1" t="s">
        <v>873</v>
      </c>
      <c r="B839" s="1" t="s">
        <v>41</v>
      </c>
      <c r="C839" s="1" t="s">
        <v>42</v>
      </c>
      <c r="D839" s="1" t="s">
        <v>27</v>
      </c>
      <c r="E839" s="1" t="s">
        <v>177</v>
      </c>
      <c r="F839" s="1" t="s">
        <v>35</v>
      </c>
      <c r="G839" s="3">
        <v>4463</v>
      </c>
      <c r="H839">
        <v>6</v>
      </c>
      <c r="I839" s="3">
        <v>13389</v>
      </c>
      <c r="J839">
        <v>281169</v>
      </c>
      <c r="K839" t="str">
        <f t="shared" si="13"/>
        <v>janeiro</v>
      </c>
      <c r="L839" s="4">
        <v>43467</v>
      </c>
      <c r="M839" s="2">
        <v>0.83888888888888891</v>
      </c>
      <c r="N839" s="1" t="s">
        <v>32</v>
      </c>
      <c r="O839" s="3">
        <v>26778</v>
      </c>
      <c r="P839">
        <v>4761904762</v>
      </c>
      <c r="Q839" s="3">
        <v>13389</v>
      </c>
      <c r="R839">
        <v>51</v>
      </c>
      <c r="S839" s="3">
        <f>G839*SuperMarket_Analysis[[#This Row],[Quantity]]</f>
        <v>26778</v>
      </c>
    </row>
    <row r="840" spans="1:19" x14ac:dyDescent="0.25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177</v>
      </c>
      <c r="F840" s="1" t="s">
        <v>28</v>
      </c>
      <c r="G840" s="3">
        <v>5587</v>
      </c>
      <c r="H840">
        <v>10</v>
      </c>
      <c r="I840" s="3">
        <v>27935</v>
      </c>
      <c r="J840">
        <v>586635</v>
      </c>
      <c r="K840" t="str">
        <f t="shared" si="13"/>
        <v>janeiro</v>
      </c>
      <c r="L840" s="4">
        <v>43480</v>
      </c>
      <c r="M840" s="2">
        <v>0.62569444444444444</v>
      </c>
      <c r="N840" s="1" t="s">
        <v>29</v>
      </c>
      <c r="O840" s="3">
        <v>5587</v>
      </c>
      <c r="P840">
        <v>4761904762</v>
      </c>
      <c r="Q840" s="3">
        <v>27935</v>
      </c>
      <c r="R840">
        <v>58</v>
      </c>
      <c r="S840" s="3">
        <f>G840*SuperMarket_Analysis[[#This Row],[Quantity]]</f>
        <v>55870</v>
      </c>
    </row>
    <row r="841" spans="1:19" x14ac:dyDescent="0.25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35</v>
      </c>
      <c r="G841" s="3">
        <v>2922</v>
      </c>
      <c r="H841">
        <v>6</v>
      </c>
      <c r="I841" s="3">
        <v>8766</v>
      </c>
      <c r="J841">
        <v>184086</v>
      </c>
      <c r="K841" t="str">
        <f t="shared" si="13"/>
        <v>janeiro</v>
      </c>
      <c r="L841" s="4">
        <v>43466</v>
      </c>
      <c r="M841" s="2">
        <v>0.4861111111111111</v>
      </c>
      <c r="N841" s="1" t="s">
        <v>23</v>
      </c>
      <c r="O841" s="3">
        <v>17532</v>
      </c>
      <c r="P841">
        <v>4761904762</v>
      </c>
      <c r="Q841" s="3">
        <v>8766</v>
      </c>
      <c r="R841">
        <v>5</v>
      </c>
      <c r="S841" s="3">
        <f>G841*SuperMarket_Analysis[[#This Row],[Quantity]]</f>
        <v>17532</v>
      </c>
    </row>
    <row r="842" spans="1:19" x14ac:dyDescent="0.25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177</v>
      </c>
      <c r="F842" s="1" t="s">
        <v>45</v>
      </c>
      <c r="G842" s="3">
        <v>5194</v>
      </c>
      <c r="H842">
        <v>3</v>
      </c>
      <c r="I842" s="3">
        <v>7791</v>
      </c>
      <c r="J842">
        <v>163611</v>
      </c>
      <c r="K842" t="str">
        <f t="shared" si="13"/>
        <v>fevereiro</v>
      </c>
      <c r="L842" s="4">
        <v>43511</v>
      </c>
      <c r="M842" s="2">
        <v>0.63958333333333328</v>
      </c>
      <c r="N842" s="1" t="s">
        <v>29</v>
      </c>
      <c r="O842" s="3">
        <v>15582</v>
      </c>
      <c r="P842">
        <v>4761904762</v>
      </c>
      <c r="Q842" s="3">
        <v>7791</v>
      </c>
      <c r="R842">
        <v>79</v>
      </c>
      <c r="S842" s="3">
        <f>G842*SuperMarket_Analysis[[#This Row],[Quantity]]</f>
        <v>15582</v>
      </c>
    </row>
    <row r="843" spans="1:19" x14ac:dyDescent="0.25">
      <c r="A843" s="1" t="s">
        <v>877</v>
      </c>
      <c r="B843" s="1" t="s">
        <v>41</v>
      </c>
      <c r="C843" s="1" t="s">
        <v>42</v>
      </c>
      <c r="D843" s="1" t="s">
        <v>27</v>
      </c>
      <c r="E843" s="1" t="s">
        <v>177</v>
      </c>
      <c r="F843" s="1" t="s">
        <v>28</v>
      </c>
      <c r="G843" s="3">
        <v>603</v>
      </c>
      <c r="H843">
        <v>1</v>
      </c>
      <c r="I843" s="3">
        <v>3015</v>
      </c>
      <c r="J843">
        <v>63315</v>
      </c>
      <c r="K843" t="str">
        <f t="shared" si="13"/>
        <v>fevereiro</v>
      </c>
      <c r="L843" s="4">
        <v>43524</v>
      </c>
      <c r="M843" s="2">
        <v>0.73472222222222228</v>
      </c>
      <c r="N843" s="1" t="s">
        <v>29</v>
      </c>
      <c r="O843" s="3">
        <v>603</v>
      </c>
      <c r="P843">
        <v>4761904762</v>
      </c>
      <c r="Q843" s="3">
        <v>3015</v>
      </c>
      <c r="R843">
        <v>6</v>
      </c>
      <c r="S843" s="3">
        <f>G843*SuperMarket_Analysis[[#This Row],[Quantity]]</f>
        <v>603</v>
      </c>
    </row>
    <row r="844" spans="1:19" x14ac:dyDescent="0.25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35</v>
      </c>
      <c r="G844" s="3">
        <v>3947</v>
      </c>
      <c r="H844">
        <v>2</v>
      </c>
      <c r="I844" s="3">
        <v>3947</v>
      </c>
      <c r="J844">
        <v>82887</v>
      </c>
      <c r="K844" t="str">
        <f t="shared" si="13"/>
        <v>março</v>
      </c>
      <c r="L844" s="4">
        <v>43526</v>
      </c>
      <c r="M844" s="2">
        <v>0.67777777777777781</v>
      </c>
      <c r="N844" s="1" t="s">
        <v>32</v>
      </c>
      <c r="O844" s="3">
        <v>7894</v>
      </c>
      <c r="P844">
        <v>4761904762</v>
      </c>
      <c r="Q844" s="3">
        <v>3947</v>
      </c>
      <c r="R844">
        <v>5</v>
      </c>
      <c r="S844" s="3">
        <f>G844*SuperMarket_Analysis[[#This Row],[Quantity]]</f>
        <v>7894</v>
      </c>
    </row>
    <row r="845" spans="1:19" x14ac:dyDescent="0.25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43</v>
      </c>
      <c r="G845" s="3">
        <v>1487</v>
      </c>
      <c r="H845">
        <v>2</v>
      </c>
      <c r="I845" s="3">
        <v>1487</v>
      </c>
      <c r="J845">
        <v>31227</v>
      </c>
      <c r="K845" t="str">
        <f t="shared" si="13"/>
        <v>fevereiro</v>
      </c>
      <c r="L845" s="4">
        <v>43509</v>
      </c>
      <c r="M845" s="2">
        <v>0.76041666666666663</v>
      </c>
      <c r="N845" s="1" t="s">
        <v>32</v>
      </c>
      <c r="O845" s="3">
        <v>2974</v>
      </c>
      <c r="P845">
        <v>4761904762</v>
      </c>
      <c r="Q845" s="3">
        <v>1487</v>
      </c>
      <c r="R845">
        <v>89</v>
      </c>
      <c r="S845" s="3">
        <f>G845*SuperMarket_Analysis[[#This Row],[Quantity]]</f>
        <v>2974</v>
      </c>
    </row>
    <row r="846" spans="1:19" x14ac:dyDescent="0.25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177</v>
      </c>
      <c r="F846" s="1" t="s">
        <v>45</v>
      </c>
      <c r="G846" s="3">
        <v>2132</v>
      </c>
      <c r="H846">
        <v>1</v>
      </c>
      <c r="I846" s="3">
        <v>1066</v>
      </c>
      <c r="J846">
        <v>22386</v>
      </c>
      <c r="K846" t="str">
        <f t="shared" si="13"/>
        <v>janeiro</v>
      </c>
      <c r="L846" s="4">
        <v>43491</v>
      </c>
      <c r="M846" s="2">
        <v>0.52986111111111112</v>
      </c>
      <c r="N846" s="1" t="s">
        <v>29</v>
      </c>
      <c r="O846" s="3">
        <v>2132</v>
      </c>
      <c r="P846">
        <v>4761904762</v>
      </c>
      <c r="Q846" s="3">
        <v>1066</v>
      </c>
      <c r="R846">
        <v>59</v>
      </c>
      <c r="S846" s="3">
        <f>G846*SuperMarket_Analysis[[#This Row],[Quantity]]</f>
        <v>2132</v>
      </c>
    </row>
    <row r="847" spans="1:19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177</v>
      </c>
      <c r="F847" s="1" t="s">
        <v>28</v>
      </c>
      <c r="G847" s="3">
        <v>9378</v>
      </c>
      <c r="H847">
        <v>3</v>
      </c>
      <c r="I847" s="3">
        <v>14067</v>
      </c>
      <c r="J847">
        <v>295407</v>
      </c>
      <c r="K847" t="str">
        <f t="shared" si="13"/>
        <v>janeiro</v>
      </c>
      <c r="L847" s="4">
        <v>43495</v>
      </c>
      <c r="M847" s="2">
        <v>0.48055555555555557</v>
      </c>
      <c r="N847" s="1" t="s">
        <v>32</v>
      </c>
      <c r="O847" s="3">
        <v>28134</v>
      </c>
      <c r="P847">
        <v>4761904762</v>
      </c>
      <c r="Q847" s="3">
        <v>14067</v>
      </c>
      <c r="R847">
        <v>59</v>
      </c>
      <c r="S847" s="3">
        <f>G847*SuperMarket_Analysis[[#This Row],[Quantity]]</f>
        <v>28134</v>
      </c>
    </row>
    <row r="848" spans="1:19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177</v>
      </c>
      <c r="F848" s="1" t="s">
        <v>28</v>
      </c>
      <c r="G848" s="3">
        <v>7326</v>
      </c>
      <c r="H848">
        <v>1</v>
      </c>
      <c r="I848" s="3">
        <v>3663</v>
      </c>
      <c r="J848">
        <v>76923</v>
      </c>
      <c r="K848" t="str">
        <f t="shared" si="13"/>
        <v>janeiro</v>
      </c>
      <c r="L848" s="4">
        <v>43492</v>
      </c>
      <c r="M848" s="2">
        <v>0.75555555555555554</v>
      </c>
      <c r="N848" s="1" t="s">
        <v>23</v>
      </c>
      <c r="O848" s="3">
        <v>7326</v>
      </c>
      <c r="P848">
        <v>4761904762</v>
      </c>
      <c r="Q848" s="3">
        <v>3663</v>
      </c>
      <c r="R848">
        <v>97</v>
      </c>
      <c r="S848" s="3">
        <f>G848*SuperMarket_Analysis[[#This Row],[Quantity]]</f>
        <v>7326</v>
      </c>
    </row>
    <row r="849" spans="1:19" x14ac:dyDescent="0.25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35</v>
      </c>
      <c r="G849" s="3">
        <v>2238</v>
      </c>
      <c r="H849">
        <v>1</v>
      </c>
      <c r="I849" s="3">
        <v>1119</v>
      </c>
      <c r="J849">
        <v>23499</v>
      </c>
      <c r="K849" t="str">
        <f t="shared" si="13"/>
        <v>janeiro</v>
      </c>
      <c r="L849" s="4">
        <v>43495</v>
      </c>
      <c r="M849" s="2">
        <v>0.71388888888888891</v>
      </c>
      <c r="N849" s="1" t="s">
        <v>32</v>
      </c>
      <c r="O849" s="3">
        <v>2238</v>
      </c>
      <c r="P849">
        <v>4761904762</v>
      </c>
      <c r="Q849" s="3">
        <v>1119</v>
      </c>
      <c r="R849">
        <v>86</v>
      </c>
      <c r="S849" s="3">
        <f>G849*SuperMarket_Analysis[[#This Row],[Quantity]]</f>
        <v>2238</v>
      </c>
    </row>
    <row r="850" spans="1:19" x14ac:dyDescent="0.25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43</v>
      </c>
      <c r="G850" s="3">
        <v>7288</v>
      </c>
      <c r="H850">
        <v>9</v>
      </c>
      <c r="I850" s="3">
        <v>32796</v>
      </c>
      <c r="J850">
        <v>688716</v>
      </c>
      <c r="K850" t="str">
        <f t="shared" si="13"/>
        <v>janeiro</v>
      </c>
      <c r="L850" s="4">
        <v>43473</v>
      </c>
      <c r="M850" s="2">
        <v>0.81805555555555554</v>
      </c>
      <c r="N850" s="1" t="s">
        <v>29</v>
      </c>
      <c r="O850" s="3">
        <v>65592</v>
      </c>
      <c r="P850">
        <v>4761904762</v>
      </c>
      <c r="Q850" s="3">
        <v>32796</v>
      </c>
      <c r="R850">
        <v>4</v>
      </c>
      <c r="S850" s="3">
        <f>G850*SuperMarket_Analysis[[#This Row],[Quantity]]</f>
        <v>65592</v>
      </c>
    </row>
    <row r="851" spans="1:19" x14ac:dyDescent="0.25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45</v>
      </c>
      <c r="G851" s="3">
        <v>991</v>
      </c>
      <c r="H851">
        <v>6</v>
      </c>
      <c r="I851" s="3">
        <v>2973</v>
      </c>
      <c r="J851">
        <v>62433</v>
      </c>
      <c r="K851" t="str">
        <f t="shared" si="13"/>
        <v>janeiro</v>
      </c>
      <c r="L851" s="4">
        <v>43484</v>
      </c>
      <c r="M851" s="2">
        <v>0.5493055555555556</v>
      </c>
      <c r="N851" s="1" t="s">
        <v>29</v>
      </c>
      <c r="O851" s="3">
        <v>5946</v>
      </c>
      <c r="P851">
        <v>4761904762</v>
      </c>
      <c r="Q851" s="3">
        <v>2973</v>
      </c>
      <c r="R851">
        <v>42</v>
      </c>
      <c r="S851" s="3">
        <f>G851*SuperMarket_Analysis[[#This Row],[Quantity]]</f>
        <v>5946</v>
      </c>
    </row>
    <row r="852" spans="1:19" x14ac:dyDescent="0.25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177</v>
      </c>
      <c r="F852" s="1" t="s">
        <v>45</v>
      </c>
      <c r="G852" s="3">
        <v>741</v>
      </c>
      <c r="H852">
        <v>1</v>
      </c>
      <c r="I852" s="3">
        <v>3705</v>
      </c>
      <c r="J852">
        <v>77805</v>
      </c>
      <c r="K852" t="str">
        <f t="shared" si="13"/>
        <v>janeiro</v>
      </c>
      <c r="L852" s="4">
        <v>43490</v>
      </c>
      <c r="M852" s="2">
        <v>0.46180555555555558</v>
      </c>
      <c r="N852" s="1" t="s">
        <v>29</v>
      </c>
      <c r="O852" s="3">
        <v>741</v>
      </c>
      <c r="P852">
        <v>4761904762</v>
      </c>
      <c r="Q852" s="3">
        <v>3705</v>
      </c>
      <c r="R852">
        <v>92</v>
      </c>
      <c r="S852" s="3">
        <f>G852*SuperMarket_Analysis[[#This Row],[Quantity]]</f>
        <v>741</v>
      </c>
    </row>
    <row r="853" spans="1:19" x14ac:dyDescent="0.25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45</v>
      </c>
      <c r="G853" s="3">
        <v>9848</v>
      </c>
      <c r="H853">
        <v>2</v>
      </c>
      <c r="I853" s="3">
        <v>9848</v>
      </c>
      <c r="J853">
        <v>206808</v>
      </c>
      <c r="K853" t="str">
        <f t="shared" si="13"/>
        <v>fevereiro</v>
      </c>
      <c r="L853" s="4">
        <v>43515</v>
      </c>
      <c r="M853" s="2">
        <v>0.42499999999999999</v>
      </c>
      <c r="N853" s="1" t="s">
        <v>23</v>
      </c>
      <c r="O853" s="3">
        <v>19696</v>
      </c>
      <c r="P853">
        <v>4761904762</v>
      </c>
      <c r="Q853" s="3">
        <v>9848</v>
      </c>
      <c r="R853">
        <v>92</v>
      </c>
      <c r="S853" s="3">
        <f>G853*SuperMarket_Analysis[[#This Row],[Quantity]]</f>
        <v>19696</v>
      </c>
    </row>
    <row r="854" spans="1:19" x14ac:dyDescent="0.25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177</v>
      </c>
      <c r="F854" s="1" t="s">
        <v>22</v>
      </c>
      <c r="G854" s="3">
        <v>5319</v>
      </c>
      <c r="H854">
        <v>7</v>
      </c>
      <c r="I854" s="3">
        <v>186165</v>
      </c>
      <c r="J854">
        <v>3909465</v>
      </c>
      <c r="K854" t="str">
        <f t="shared" si="13"/>
        <v>janeiro</v>
      </c>
      <c r="L854" s="4">
        <v>43479</v>
      </c>
      <c r="M854" s="2">
        <v>0.65416666666666667</v>
      </c>
      <c r="N854" s="1" t="s">
        <v>23</v>
      </c>
      <c r="O854" s="3">
        <v>37233</v>
      </c>
      <c r="P854">
        <v>4761904762</v>
      </c>
      <c r="Q854" s="3">
        <v>186165</v>
      </c>
      <c r="R854">
        <v>5</v>
      </c>
      <c r="S854" s="3">
        <f>G854*SuperMarket_Analysis[[#This Row],[Quantity]]</f>
        <v>37233</v>
      </c>
    </row>
    <row r="855" spans="1:19" x14ac:dyDescent="0.25">
      <c r="A855" s="1" t="s">
        <v>889</v>
      </c>
      <c r="B855" s="1" t="s">
        <v>41</v>
      </c>
      <c r="C855" s="1" t="s">
        <v>42</v>
      </c>
      <c r="D855" s="1" t="s">
        <v>27</v>
      </c>
      <c r="E855" s="1" t="s">
        <v>21</v>
      </c>
      <c r="F855" s="1" t="s">
        <v>28</v>
      </c>
      <c r="G855" s="3">
        <v>5279</v>
      </c>
      <c r="H855">
        <v>10</v>
      </c>
      <c r="I855" s="3">
        <v>26395</v>
      </c>
      <c r="J855">
        <v>554295</v>
      </c>
      <c r="K855" t="str">
        <f t="shared" si="13"/>
        <v>fevereiro</v>
      </c>
      <c r="L855" s="4">
        <v>43521</v>
      </c>
      <c r="M855" s="2">
        <v>0.49861111111111112</v>
      </c>
      <c r="N855" s="1" t="s">
        <v>23</v>
      </c>
      <c r="O855" s="3">
        <v>5279</v>
      </c>
      <c r="P855">
        <v>4761904762</v>
      </c>
      <c r="Q855" s="3">
        <v>26395</v>
      </c>
      <c r="R855">
        <v>10</v>
      </c>
      <c r="S855" s="3">
        <f>G855*SuperMarket_Analysis[[#This Row],[Quantity]]</f>
        <v>52790</v>
      </c>
    </row>
    <row r="856" spans="1:19" x14ac:dyDescent="0.25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3">
        <v>9595</v>
      </c>
      <c r="H856">
        <v>5</v>
      </c>
      <c r="I856" s="3">
        <v>239875</v>
      </c>
      <c r="J856">
        <v>5037375</v>
      </c>
      <c r="K856" t="str">
        <f t="shared" si="13"/>
        <v>janeiro</v>
      </c>
      <c r="L856" s="4">
        <v>43488</v>
      </c>
      <c r="M856" s="2">
        <v>0.59791666666666665</v>
      </c>
      <c r="N856" s="1" t="s">
        <v>23</v>
      </c>
      <c r="O856" s="3">
        <v>47975</v>
      </c>
      <c r="P856">
        <v>4761904762</v>
      </c>
      <c r="Q856" s="3">
        <v>239875</v>
      </c>
      <c r="R856">
        <v>88</v>
      </c>
      <c r="S856" s="3">
        <f>G856*SuperMarket_Analysis[[#This Row],[Quantity]]</f>
        <v>47975</v>
      </c>
    </row>
    <row r="857" spans="1:19" x14ac:dyDescent="0.25">
      <c r="A857" s="1" t="s">
        <v>891</v>
      </c>
      <c r="B857" s="1" t="s">
        <v>41</v>
      </c>
      <c r="C857" s="1" t="s">
        <v>42</v>
      </c>
      <c r="D857" s="1" t="s">
        <v>27</v>
      </c>
      <c r="E857" s="1" t="s">
        <v>21</v>
      </c>
      <c r="F857" s="1" t="s">
        <v>45</v>
      </c>
      <c r="G857" s="3">
        <v>3651</v>
      </c>
      <c r="H857">
        <v>9</v>
      </c>
      <c r="I857" s="3">
        <v>164295</v>
      </c>
      <c r="J857">
        <v>3450195</v>
      </c>
      <c r="K857" t="str">
        <f t="shared" si="13"/>
        <v>fevereiro</v>
      </c>
      <c r="L857" s="4">
        <v>43512</v>
      </c>
      <c r="M857" s="2">
        <v>0.45277777777777778</v>
      </c>
      <c r="N857" s="1" t="s">
        <v>29</v>
      </c>
      <c r="O857" s="3">
        <v>32859</v>
      </c>
      <c r="P857">
        <v>4761904762</v>
      </c>
      <c r="Q857" s="3">
        <v>164295</v>
      </c>
      <c r="R857">
        <v>42</v>
      </c>
      <c r="S857" s="3">
        <f>G857*SuperMarket_Analysis[[#This Row],[Quantity]]</f>
        <v>32859</v>
      </c>
    </row>
    <row r="858" spans="1:19" x14ac:dyDescent="0.25">
      <c r="A858" s="1" t="s">
        <v>892</v>
      </c>
      <c r="B858" s="1" t="s">
        <v>41</v>
      </c>
      <c r="C858" s="1" t="s">
        <v>42</v>
      </c>
      <c r="D858" s="1" t="s">
        <v>27</v>
      </c>
      <c r="E858" s="1" t="s">
        <v>177</v>
      </c>
      <c r="F858" s="1" t="s">
        <v>43</v>
      </c>
      <c r="G858" s="3">
        <v>2112</v>
      </c>
      <c r="H858">
        <v>8</v>
      </c>
      <c r="I858" s="3">
        <v>8448</v>
      </c>
      <c r="J858">
        <v>177408</v>
      </c>
      <c r="K858" t="str">
        <f t="shared" si="13"/>
        <v>janeiro</v>
      </c>
      <c r="L858" s="4">
        <v>43466</v>
      </c>
      <c r="M858" s="2">
        <v>0.81319444444444444</v>
      </c>
      <c r="N858" s="1" t="s">
        <v>29</v>
      </c>
      <c r="O858" s="3">
        <v>16896</v>
      </c>
      <c r="P858">
        <v>4761904762</v>
      </c>
      <c r="Q858" s="3">
        <v>8448</v>
      </c>
      <c r="R858">
        <v>63</v>
      </c>
      <c r="S858" s="3">
        <f>G858*SuperMarket_Analysis[[#This Row],[Quantity]]</f>
        <v>16896</v>
      </c>
    </row>
    <row r="859" spans="1:19" x14ac:dyDescent="0.25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3">
        <v>2831</v>
      </c>
      <c r="H859">
        <v>4</v>
      </c>
      <c r="I859" s="3">
        <v>5662</v>
      </c>
      <c r="J859">
        <v>118902</v>
      </c>
      <c r="K859" t="str">
        <f t="shared" si="13"/>
        <v>março</v>
      </c>
      <c r="L859" s="4">
        <v>43531</v>
      </c>
      <c r="M859" s="2">
        <v>0.77430555555555558</v>
      </c>
      <c r="N859" s="1" t="s">
        <v>29</v>
      </c>
      <c r="O859" s="3">
        <v>11324</v>
      </c>
      <c r="P859">
        <v>4761904762</v>
      </c>
      <c r="Q859" s="3">
        <v>5662</v>
      </c>
      <c r="R859">
        <v>82</v>
      </c>
      <c r="S859" s="3">
        <f>G859*SuperMarket_Analysis[[#This Row],[Quantity]]</f>
        <v>11324</v>
      </c>
    </row>
    <row r="860" spans="1:19" x14ac:dyDescent="0.25">
      <c r="A860" s="1" t="s">
        <v>894</v>
      </c>
      <c r="B860" s="1" t="s">
        <v>41</v>
      </c>
      <c r="C860" s="1" t="s">
        <v>42</v>
      </c>
      <c r="D860" s="1" t="s">
        <v>27</v>
      </c>
      <c r="E860" s="1" t="s">
        <v>177</v>
      </c>
      <c r="F860" s="1" t="s">
        <v>22</v>
      </c>
      <c r="G860" s="3">
        <v>5759</v>
      </c>
      <c r="H860">
        <v>6</v>
      </c>
      <c r="I860" s="3">
        <v>17277</v>
      </c>
      <c r="J860">
        <v>362817</v>
      </c>
      <c r="K860" t="str">
        <f t="shared" si="13"/>
        <v>fevereiro</v>
      </c>
      <c r="L860" s="4">
        <v>43511</v>
      </c>
      <c r="M860" s="2">
        <v>0.57708333333333328</v>
      </c>
      <c r="N860" s="1" t="s">
        <v>29</v>
      </c>
      <c r="O860" s="3">
        <v>34554</v>
      </c>
      <c r="P860">
        <v>4761904762</v>
      </c>
      <c r="Q860" s="3">
        <v>17277</v>
      </c>
      <c r="R860">
        <v>51</v>
      </c>
      <c r="S860" s="3">
        <f>G860*SuperMarket_Analysis[[#This Row],[Quantity]]</f>
        <v>34554</v>
      </c>
    </row>
    <row r="861" spans="1:19" x14ac:dyDescent="0.25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43</v>
      </c>
      <c r="G861" s="3">
        <v>4763</v>
      </c>
      <c r="H861">
        <v>9</v>
      </c>
      <c r="I861" s="3">
        <v>214335</v>
      </c>
      <c r="J861">
        <v>4501035</v>
      </c>
      <c r="K861" t="str">
        <f t="shared" si="13"/>
        <v>janeiro</v>
      </c>
      <c r="L861" s="4">
        <v>43488</v>
      </c>
      <c r="M861" s="2">
        <v>0.52430555555555558</v>
      </c>
      <c r="N861" s="1" t="s">
        <v>29</v>
      </c>
      <c r="O861" s="3">
        <v>42867</v>
      </c>
      <c r="P861">
        <v>4761904762</v>
      </c>
      <c r="Q861" s="3">
        <v>214335</v>
      </c>
      <c r="R861">
        <v>5</v>
      </c>
      <c r="S861" s="3">
        <f>G861*SuperMarket_Analysis[[#This Row],[Quantity]]</f>
        <v>42867</v>
      </c>
    </row>
    <row r="862" spans="1:19" x14ac:dyDescent="0.25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3">
        <v>8627</v>
      </c>
      <c r="H862">
        <v>1</v>
      </c>
      <c r="I862" s="3">
        <v>43135</v>
      </c>
      <c r="J862">
        <v>905835</v>
      </c>
      <c r="K862" t="str">
        <f t="shared" si="13"/>
        <v>fevereiro</v>
      </c>
      <c r="L862" s="4">
        <v>43516</v>
      </c>
      <c r="M862" s="2">
        <v>0.55833333333333335</v>
      </c>
      <c r="N862" s="1" t="s">
        <v>23</v>
      </c>
      <c r="O862" s="3">
        <v>8627</v>
      </c>
      <c r="P862">
        <v>4761904762</v>
      </c>
      <c r="Q862" s="3">
        <v>43135</v>
      </c>
      <c r="R862">
        <v>7</v>
      </c>
      <c r="S862" s="3">
        <f>G862*SuperMarket_Analysis[[#This Row],[Quantity]]</f>
        <v>8627</v>
      </c>
    </row>
    <row r="863" spans="1:19" x14ac:dyDescent="0.25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177</v>
      </c>
      <c r="F863" s="1" t="s">
        <v>35</v>
      </c>
      <c r="G863" s="3">
        <v>1276</v>
      </c>
      <c r="H863">
        <v>2</v>
      </c>
      <c r="I863" s="3">
        <v>1276</v>
      </c>
      <c r="J863">
        <v>26796</v>
      </c>
      <c r="K863" t="str">
        <f t="shared" si="13"/>
        <v>janeiro</v>
      </c>
      <c r="L863" s="4">
        <v>43473</v>
      </c>
      <c r="M863" s="2">
        <v>0.75416666666666665</v>
      </c>
      <c r="N863" s="1" t="s">
        <v>23</v>
      </c>
      <c r="O863" s="3">
        <v>2552</v>
      </c>
      <c r="P863">
        <v>4761904762</v>
      </c>
      <c r="Q863" s="3">
        <v>1276</v>
      </c>
      <c r="R863">
        <v>78</v>
      </c>
      <c r="S863" s="3">
        <f>G863*SuperMarket_Analysis[[#This Row],[Quantity]]</f>
        <v>2552</v>
      </c>
    </row>
    <row r="864" spans="1:19" x14ac:dyDescent="0.25">
      <c r="A864" s="1" t="s">
        <v>898</v>
      </c>
      <c r="B864" s="1" t="s">
        <v>41</v>
      </c>
      <c r="C864" s="1" t="s">
        <v>42</v>
      </c>
      <c r="D864" s="1" t="s">
        <v>27</v>
      </c>
      <c r="E864" s="1" t="s">
        <v>21</v>
      </c>
      <c r="F864" s="1" t="s">
        <v>31</v>
      </c>
      <c r="G864" s="3">
        <v>1128</v>
      </c>
      <c r="H864">
        <v>9</v>
      </c>
      <c r="I864" s="3">
        <v>5076</v>
      </c>
      <c r="J864">
        <v>106596</v>
      </c>
      <c r="K864" t="str">
        <f t="shared" si="13"/>
        <v>março</v>
      </c>
      <c r="L864" s="4">
        <v>43541</v>
      </c>
      <c r="M864" s="2">
        <v>0.49652777777777779</v>
      </c>
      <c r="N864" s="1" t="s">
        <v>32</v>
      </c>
      <c r="O864" s="3">
        <v>10152</v>
      </c>
      <c r="P864">
        <v>4761904762</v>
      </c>
      <c r="Q864" s="3">
        <v>5076</v>
      </c>
      <c r="R864">
        <v>43</v>
      </c>
      <c r="S864" s="3">
        <f>G864*SuperMarket_Analysis[[#This Row],[Quantity]]</f>
        <v>10152</v>
      </c>
    </row>
    <row r="865" spans="1:19" x14ac:dyDescent="0.25">
      <c r="A865" s="1" t="s">
        <v>899</v>
      </c>
      <c r="B865" s="1" t="s">
        <v>41</v>
      </c>
      <c r="C865" s="1" t="s">
        <v>42</v>
      </c>
      <c r="D865" s="1" t="s">
        <v>27</v>
      </c>
      <c r="E865" s="1" t="s">
        <v>21</v>
      </c>
      <c r="F865" s="1" t="s">
        <v>31</v>
      </c>
      <c r="G865" s="3">
        <v>5107</v>
      </c>
      <c r="H865">
        <v>7</v>
      </c>
      <c r="I865" s="3">
        <v>178745</v>
      </c>
      <c r="J865">
        <v>3753645</v>
      </c>
      <c r="K865" t="str">
        <f t="shared" si="13"/>
        <v>janeiro</v>
      </c>
      <c r="L865" s="4">
        <v>43477</v>
      </c>
      <c r="M865" s="2">
        <v>0.48749999999999999</v>
      </c>
      <c r="N865" s="1" t="s">
        <v>29</v>
      </c>
      <c r="O865" s="3">
        <v>35749</v>
      </c>
      <c r="P865">
        <v>4761904762</v>
      </c>
      <c r="Q865" s="3">
        <v>178745</v>
      </c>
      <c r="R865">
        <v>7</v>
      </c>
      <c r="S865" s="3">
        <f>G865*SuperMarket_Analysis[[#This Row],[Quantity]]</f>
        <v>35749</v>
      </c>
    </row>
    <row r="866" spans="1:19" x14ac:dyDescent="0.25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3">
        <v>7959</v>
      </c>
      <c r="H866">
        <v>3</v>
      </c>
      <c r="I866" s="3">
        <v>119385</v>
      </c>
      <c r="J866">
        <v>2507085</v>
      </c>
      <c r="K866" t="str">
        <f t="shared" si="13"/>
        <v>janeiro</v>
      </c>
      <c r="L866" s="4">
        <v>43473</v>
      </c>
      <c r="M866" s="2">
        <v>0.60416666666666663</v>
      </c>
      <c r="N866" s="1" t="s">
        <v>29</v>
      </c>
      <c r="O866" s="3">
        <v>23877</v>
      </c>
      <c r="P866">
        <v>4761904762</v>
      </c>
      <c r="Q866" s="3">
        <v>119385</v>
      </c>
      <c r="R866">
        <v>66</v>
      </c>
      <c r="S866" s="3">
        <f>G866*SuperMarket_Analysis[[#This Row],[Quantity]]</f>
        <v>23877</v>
      </c>
    </row>
    <row r="867" spans="1:19" x14ac:dyDescent="0.25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177</v>
      </c>
      <c r="F867" s="1" t="s">
        <v>22</v>
      </c>
      <c r="G867" s="3">
        <v>3381</v>
      </c>
      <c r="H867">
        <v>3</v>
      </c>
      <c r="I867" s="3">
        <v>50715</v>
      </c>
      <c r="J867">
        <v>1065015</v>
      </c>
      <c r="K867" t="str">
        <f t="shared" si="13"/>
        <v>janeiro</v>
      </c>
      <c r="L867" s="4">
        <v>43491</v>
      </c>
      <c r="M867" s="2">
        <v>0.63263888888888886</v>
      </c>
      <c r="N867" s="1" t="s">
        <v>23</v>
      </c>
      <c r="O867" s="3">
        <v>10143</v>
      </c>
      <c r="P867">
        <v>4761904762</v>
      </c>
      <c r="Q867" s="3">
        <v>50715</v>
      </c>
      <c r="R867">
        <v>73</v>
      </c>
      <c r="S867" s="3">
        <f>G867*SuperMarket_Analysis[[#This Row],[Quantity]]</f>
        <v>10143</v>
      </c>
    </row>
    <row r="868" spans="1:19" x14ac:dyDescent="0.25">
      <c r="A868" s="1" t="s">
        <v>902</v>
      </c>
      <c r="B868" s="1" t="s">
        <v>41</v>
      </c>
      <c r="C868" s="1" t="s">
        <v>42</v>
      </c>
      <c r="D868" s="1" t="s">
        <v>20</v>
      </c>
      <c r="E868" s="1" t="s">
        <v>177</v>
      </c>
      <c r="F868" s="1" t="s">
        <v>35</v>
      </c>
      <c r="G868" s="3">
        <v>9053</v>
      </c>
      <c r="H868">
        <v>8</v>
      </c>
      <c r="I868" s="3">
        <v>36212</v>
      </c>
      <c r="J868">
        <v>760452</v>
      </c>
      <c r="K868" t="str">
        <f t="shared" si="13"/>
        <v>março</v>
      </c>
      <c r="L868" s="4">
        <v>43539</v>
      </c>
      <c r="M868" s="2">
        <v>0.6166666666666667</v>
      </c>
      <c r="N868" s="1" t="s">
        <v>32</v>
      </c>
      <c r="O868" s="3">
        <v>72424</v>
      </c>
      <c r="P868">
        <v>4761904762</v>
      </c>
      <c r="Q868" s="3">
        <v>36212</v>
      </c>
      <c r="R868">
        <v>65</v>
      </c>
      <c r="S868" s="3">
        <f>G868*SuperMarket_Analysis[[#This Row],[Quantity]]</f>
        <v>72424</v>
      </c>
    </row>
    <row r="869" spans="1:19" x14ac:dyDescent="0.25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3">
        <v>6282</v>
      </c>
      <c r="H869">
        <v>2</v>
      </c>
      <c r="I869" s="3">
        <v>6282</v>
      </c>
      <c r="J869">
        <v>131922</v>
      </c>
      <c r="K869" t="str">
        <f t="shared" si="13"/>
        <v>janeiro</v>
      </c>
      <c r="L869" s="4">
        <v>43482</v>
      </c>
      <c r="M869" s="2">
        <v>0.52500000000000002</v>
      </c>
      <c r="N869" s="1" t="s">
        <v>23</v>
      </c>
      <c r="O869" s="3">
        <v>12564</v>
      </c>
      <c r="P869">
        <v>4761904762</v>
      </c>
      <c r="Q869" s="3">
        <v>6282</v>
      </c>
      <c r="R869">
        <v>49</v>
      </c>
      <c r="S869" s="3">
        <f>G869*SuperMarket_Analysis[[#This Row],[Quantity]]</f>
        <v>12564</v>
      </c>
    </row>
    <row r="870" spans="1:19" x14ac:dyDescent="0.25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177</v>
      </c>
      <c r="F870" s="1" t="s">
        <v>43</v>
      </c>
      <c r="G870" s="3">
        <v>2431</v>
      </c>
      <c r="H870">
        <v>3</v>
      </c>
      <c r="I870" s="3">
        <v>36465</v>
      </c>
      <c r="J870">
        <v>765765</v>
      </c>
      <c r="K870" t="str">
        <f t="shared" si="13"/>
        <v>janeiro</v>
      </c>
      <c r="L870" s="4">
        <v>43473</v>
      </c>
      <c r="M870" s="2">
        <v>0.79791666666666672</v>
      </c>
      <c r="N870" s="1" t="s">
        <v>32</v>
      </c>
      <c r="O870" s="3">
        <v>7293</v>
      </c>
      <c r="P870">
        <v>4761904762</v>
      </c>
      <c r="Q870" s="3">
        <v>36465</v>
      </c>
      <c r="R870">
        <v>43</v>
      </c>
      <c r="S870" s="3">
        <f>G870*SuperMarket_Analysis[[#This Row],[Quantity]]</f>
        <v>7293</v>
      </c>
    </row>
    <row r="871" spans="1:19" x14ac:dyDescent="0.25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177</v>
      </c>
      <c r="F871" s="1" t="s">
        <v>35</v>
      </c>
      <c r="G871" s="3">
        <v>6459</v>
      </c>
      <c r="H871">
        <v>4</v>
      </c>
      <c r="I871" s="3">
        <v>12918</v>
      </c>
      <c r="J871">
        <v>271278</v>
      </c>
      <c r="K871" t="str">
        <f t="shared" si="13"/>
        <v>janeiro</v>
      </c>
      <c r="L871" s="4">
        <v>43471</v>
      </c>
      <c r="M871" s="2">
        <v>0.56597222222222221</v>
      </c>
      <c r="N871" s="1" t="s">
        <v>23</v>
      </c>
      <c r="O871" s="3">
        <v>25836</v>
      </c>
      <c r="P871">
        <v>4761904762</v>
      </c>
      <c r="Q871" s="3">
        <v>12918</v>
      </c>
      <c r="R871">
        <v>93</v>
      </c>
      <c r="S871" s="3">
        <f>G871*SuperMarket_Analysis[[#This Row],[Quantity]]</f>
        <v>25836</v>
      </c>
    </row>
    <row r="872" spans="1:19" x14ac:dyDescent="0.25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177</v>
      </c>
      <c r="F872" s="1" t="s">
        <v>43</v>
      </c>
      <c r="G872" s="3">
        <v>2482</v>
      </c>
      <c r="H872">
        <v>7</v>
      </c>
      <c r="I872" s="3">
        <v>8687</v>
      </c>
      <c r="J872">
        <v>182427</v>
      </c>
      <c r="K872" t="str">
        <f t="shared" si="13"/>
        <v>fevereiro</v>
      </c>
      <c r="L872" s="4">
        <v>43512</v>
      </c>
      <c r="M872" s="2">
        <v>0.43958333333333333</v>
      </c>
      <c r="N872" s="1" t="s">
        <v>32</v>
      </c>
      <c r="O872" s="3">
        <v>17374</v>
      </c>
      <c r="P872">
        <v>4761904762</v>
      </c>
      <c r="Q872" s="3">
        <v>8687</v>
      </c>
      <c r="R872">
        <v>71</v>
      </c>
      <c r="S872" s="3">
        <f>G872*SuperMarket_Analysis[[#This Row],[Quantity]]</f>
        <v>17374</v>
      </c>
    </row>
    <row r="873" spans="1:19" x14ac:dyDescent="0.25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177</v>
      </c>
      <c r="F873" s="1" t="s">
        <v>45</v>
      </c>
      <c r="G873" s="3">
        <v>565</v>
      </c>
      <c r="H873">
        <v>1</v>
      </c>
      <c r="I873" s="3">
        <v>2825</v>
      </c>
      <c r="J873">
        <v>59325</v>
      </c>
      <c r="K873" t="str">
        <f t="shared" si="13"/>
        <v>março</v>
      </c>
      <c r="L873" s="4">
        <v>43537</v>
      </c>
      <c r="M873" s="2">
        <v>0.65625</v>
      </c>
      <c r="N873" s="1" t="s">
        <v>23</v>
      </c>
      <c r="O873" s="3">
        <v>565</v>
      </c>
      <c r="P873">
        <v>4761904762</v>
      </c>
      <c r="Q873" s="3">
        <v>2825</v>
      </c>
      <c r="R873">
        <v>96</v>
      </c>
      <c r="S873" s="3">
        <f>G873*SuperMarket_Analysis[[#This Row],[Quantity]]</f>
        <v>565</v>
      </c>
    </row>
    <row r="874" spans="1:19" x14ac:dyDescent="0.25">
      <c r="A874" s="1" t="s">
        <v>908</v>
      </c>
      <c r="B874" s="1" t="s">
        <v>41</v>
      </c>
      <c r="C874" s="1" t="s">
        <v>42</v>
      </c>
      <c r="D874" s="1" t="s">
        <v>20</v>
      </c>
      <c r="E874" s="1" t="s">
        <v>21</v>
      </c>
      <c r="F874" s="1" t="s">
        <v>28</v>
      </c>
      <c r="G874" s="3">
        <v>2143</v>
      </c>
      <c r="H874">
        <v>10</v>
      </c>
      <c r="I874" s="3">
        <v>10715</v>
      </c>
      <c r="J874">
        <v>225015</v>
      </c>
      <c r="K874" t="str">
        <f t="shared" si="13"/>
        <v>janeiro</v>
      </c>
      <c r="L874" s="4">
        <v>43493</v>
      </c>
      <c r="M874" s="2">
        <v>0.49375000000000002</v>
      </c>
      <c r="N874" s="1" t="s">
        <v>29</v>
      </c>
      <c r="O874" s="3">
        <v>2143</v>
      </c>
      <c r="P874">
        <v>4761904762</v>
      </c>
      <c r="Q874" s="3">
        <v>10715</v>
      </c>
      <c r="R874">
        <v>62</v>
      </c>
      <c r="S874" s="3">
        <f>G874*SuperMarket_Analysis[[#This Row],[Quantity]]</f>
        <v>21430</v>
      </c>
    </row>
    <row r="875" spans="1:19" x14ac:dyDescent="0.25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177</v>
      </c>
      <c r="F875" s="1" t="s">
        <v>35</v>
      </c>
      <c r="G875" s="3">
        <v>8906</v>
      </c>
      <c r="H875">
        <v>6</v>
      </c>
      <c r="I875" s="3">
        <v>26718</v>
      </c>
      <c r="J875">
        <v>561078</v>
      </c>
      <c r="K875" t="str">
        <f t="shared" si="13"/>
        <v>janeiro</v>
      </c>
      <c r="L875" s="4">
        <v>43483</v>
      </c>
      <c r="M875" s="2">
        <v>0.72638888888888886</v>
      </c>
      <c r="N875" s="1" t="s">
        <v>29</v>
      </c>
      <c r="O875" s="3">
        <v>53436</v>
      </c>
      <c r="P875">
        <v>4761904762</v>
      </c>
      <c r="Q875" s="3">
        <v>26718</v>
      </c>
      <c r="R875">
        <v>99</v>
      </c>
      <c r="S875" s="3">
        <f>G875*SuperMarket_Analysis[[#This Row],[Quantity]]</f>
        <v>53436</v>
      </c>
    </row>
    <row r="876" spans="1:19" x14ac:dyDescent="0.25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177</v>
      </c>
      <c r="F876" s="1" t="s">
        <v>31</v>
      </c>
      <c r="G876" s="3">
        <v>2329</v>
      </c>
      <c r="H876">
        <v>4</v>
      </c>
      <c r="I876" s="3">
        <v>4658</v>
      </c>
      <c r="J876">
        <v>97818</v>
      </c>
      <c r="K876" t="str">
        <f t="shared" si="13"/>
        <v>março</v>
      </c>
      <c r="L876" s="4">
        <v>43543</v>
      </c>
      <c r="M876" s="2">
        <v>0.49444444444444446</v>
      </c>
      <c r="N876" s="1" t="s">
        <v>32</v>
      </c>
      <c r="O876" s="3">
        <v>9316</v>
      </c>
      <c r="P876">
        <v>4761904762</v>
      </c>
      <c r="Q876" s="3">
        <v>4658</v>
      </c>
      <c r="R876">
        <v>59</v>
      </c>
      <c r="S876" s="3">
        <f>G876*SuperMarket_Analysis[[#This Row],[Quantity]]</f>
        <v>9316</v>
      </c>
    </row>
    <row r="877" spans="1:19" x14ac:dyDescent="0.25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177</v>
      </c>
      <c r="F877" s="1" t="s">
        <v>31</v>
      </c>
      <c r="G877" s="3">
        <v>6526</v>
      </c>
      <c r="H877">
        <v>8</v>
      </c>
      <c r="I877" s="3">
        <v>26104</v>
      </c>
      <c r="J877">
        <v>548184</v>
      </c>
      <c r="K877" t="str">
        <f t="shared" si="13"/>
        <v>março</v>
      </c>
      <c r="L877" s="4">
        <v>43539</v>
      </c>
      <c r="M877" s="2">
        <v>0.58611111111111114</v>
      </c>
      <c r="N877" s="1" t="s">
        <v>23</v>
      </c>
      <c r="O877" s="3">
        <v>52208</v>
      </c>
      <c r="P877">
        <v>4761904762</v>
      </c>
      <c r="Q877" s="3">
        <v>26104</v>
      </c>
      <c r="R877">
        <v>63</v>
      </c>
      <c r="S877" s="3">
        <f>G877*SuperMarket_Analysis[[#This Row],[Quantity]]</f>
        <v>52208</v>
      </c>
    </row>
    <row r="878" spans="1:19" x14ac:dyDescent="0.25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177</v>
      </c>
      <c r="F878" s="1" t="s">
        <v>45</v>
      </c>
      <c r="G878" s="3">
        <v>5235</v>
      </c>
      <c r="H878">
        <v>1</v>
      </c>
      <c r="I878" s="3">
        <v>26175</v>
      </c>
      <c r="J878">
        <v>549675</v>
      </c>
      <c r="K878" t="str">
        <f t="shared" si="13"/>
        <v>fevereiro</v>
      </c>
      <c r="L878" s="4">
        <v>43508</v>
      </c>
      <c r="M878" s="2">
        <v>0.74236111111111114</v>
      </c>
      <c r="N878" s="1" t="s">
        <v>29</v>
      </c>
      <c r="O878" s="3">
        <v>5235</v>
      </c>
      <c r="P878">
        <v>4761904762</v>
      </c>
      <c r="Q878" s="3">
        <v>26175</v>
      </c>
      <c r="R878">
        <v>4</v>
      </c>
      <c r="S878" s="3">
        <f>G878*SuperMarket_Analysis[[#This Row],[Quantity]]</f>
        <v>5235</v>
      </c>
    </row>
    <row r="879" spans="1:19" x14ac:dyDescent="0.25">
      <c r="A879" s="1" t="s">
        <v>913</v>
      </c>
      <c r="B879" s="1" t="s">
        <v>41</v>
      </c>
      <c r="C879" s="1" t="s">
        <v>42</v>
      </c>
      <c r="D879" s="1" t="s">
        <v>20</v>
      </c>
      <c r="E879" s="1" t="s">
        <v>177</v>
      </c>
      <c r="F879" s="1" t="s">
        <v>28</v>
      </c>
      <c r="G879" s="3">
        <v>3975</v>
      </c>
      <c r="H879">
        <v>1</v>
      </c>
      <c r="I879" s="3">
        <v>19875</v>
      </c>
      <c r="J879">
        <v>417375</v>
      </c>
      <c r="K879" t="str">
        <f t="shared" si="13"/>
        <v>fevereiro</v>
      </c>
      <c r="L879" s="4">
        <v>43521</v>
      </c>
      <c r="M879" s="2">
        <v>0.84652777777777777</v>
      </c>
      <c r="N879" s="1" t="s">
        <v>29</v>
      </c>
      <c r="O879" s="3">
        <v>3975</v>
      </c>
      <c r="P879">
        <v>4761904762</v>
      </c>
      <c r="Q879" s="3">
        <v>19875</v>
      </c>
      <c r="R879">
        <v>61</v>
      </c>
      <c r="S879" s="3">
        <f>G879*SuperMarket_Analysis[[#This Row],[Quantity]]</f>
        <v>3975</v>
      </c>
    </row>
    <row r="880" spans="1:19" x14ac:dyDescent="0.25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3">
        <v>9002</v>
      </c>
      <c r="H880">
        <v>8</v>
      </c>
      <c r="I880" s="3">
        <v>36008</v>
      </c>
      <c r="J880">
        <v>756168</v>
      </c>
      <c r="K880" t="str">
        <f t="shared" si="13"/>
        <v>março</v>
      </c>
      <c r="L880" s="4">
        <v>43545</v>
      </c>
      <c r="M880" s="2">
        <v>0.67222222222222228</v>
      </c>
      <c r="N880" s="1" t="s">
        <v>32</v>
      </c>
      <c r="O880" s="3">
        <v>72016</v>
      </c>
      <c r="P880">
        <v>4761904762</v>
      </c>
      <c r="Q880" s="3">
        <v>36008</v>
      </c>
      <c r="R880">
        <v>45</v>
      </c>
      <c r="S880" s="3">
        <f>G880*SuperMarket_Analysis[[#This Row],[Quantity]]</f>
        <v>72016</v>
      </c>
    </row>
    <row r="881" spans="1:19" x14ac:dyDescent="0.25">
      <c r="A881" s="1" t="s">
        <v>915</v>
      </c>
      <c r="B881" s="1" t="s">
        <v>41</v>
      </c>
      <c r="C881" s="1" t="s">
        <v>42</v>
      </c>
      <c r="D881" s="1" t="s">
        <v>20</v>
      </c>
      <c r="E881" s="1" t="s">
        <v>21</v>
      </c>
      <c r="F881" s="1" t="s">
        <v>28</v>
      </c>
      <c r="G881" s="3">
        <v>121</v>
      </c>
      <c r="H881">
        <v>8</v>
      </c>
      <c r="I881" s="3">
        <v>484</v>
      </c>
      <c r="J881">
        <v>10164</v>
      </c>
      <c r="K881" t="str">
        <f t="shared" si="13"/>
        <v>janeiro</v>
      </c>
      <c r="L881" s="4">
        <v>43484</v>
      </c>
      <c r="M881" s="2">
        <v>0.4284722222222222</v>
      </c>
      <c r="N881" s="1" t="s">
        <v>23</v>
      </c>
      <c r="O881" s="3">
        <v>968</v>
      </c>
      <c r="P881">
        <v>4761904762</v>
      </c>
      <c r="Q881" s="3">
        <v>484</v>
      </c>
      <c r="R881">
        <v>86</v>
      </c>
      <c r="S881" s="3">
        <f>G881*SuperMarket_Analysis[[#This Row],[Quantity]]</f>
        <v>968</v>
      </c>
    </row>
    <row r="882" spans="1:19" x14ac:dyDescent="0.25">
      <c r="A882" s="1" t="s">
        <v>916</v>
      </c>
      <c r="B882" s="1" t="s">
        <v>41</v>
      </c>
      <c r="C882" s="1" t="s">
        <v>42</v>
      </c>
      <c r="D882" s="1" t="s">
        <v>20</v>
      </c>
      <c r="E882" s="1" t="s">
        <v>21</v>
      </c>
      <c r="F882" s="1" t="s">
        <v>43</v>
      </c>
      <c r="G882" s="3">
        <v>3321</v>
      </c>
      <c r="H882">
        <v>10</v>
      </c>
      <c r="I882" s="3">
        <v>16605</v>
      </c>
      <c r="J882">
        <v>348705</v>
      </c>
      <c r="K882" t="str">
        <f t="shared" si="13"/>
        <v>janeiro</v>
      </c>
      <c r="L882" s="4">
        <v>43473</v>
      </c>
      <c r="M882" s="2">
        <v>0.60069444444444442</v>
      </c>
      <c r="N882" s="1" t="s">
        <v>23</v>
      </c>
      <c r="O882" s="3">
        <v>3321</v>
      </c>
      <c r="P882">
        <v>4761904762</v>
      </c>
      <c r="Q882" s="3">
        <v>16605</v>
      </c>
      <c r="R882">
        <v>6</v>
      </c>
      <c r="S882" s="3">
        <f>G882*SuperMarket_Analysis[[#This Row],[Quantity]]</f>
        <v>33210</v>
      </c>
    </row>
    <row r="883" spans="1:19" x14ac:dyDescent="0.25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45</v>
      </c>
      <c r="G883" s="3">
        <v>1018</v>
      </c>
      <c r="H883">
        <v>8</v>
      </c>
      <c r="I883" s="3">
        <v>4072</v>
      </c>
      <c r="J883">
        <v>85512</v>
      </c>
      <c r="K883" t="str">
        <f t="shared" si="13"/>
        <v>março</v>
      </c>
      <c r="L883" s="4">
        <v>43554</v>
      </c>
      <c r="M883" s="2">
        <v>0.53541666666666665</v>
      </c>
      <c r="N883" s="1" t="s">
        <v>32</v>
      </c>
      <c r="O883" s="3">
        <v>8144</v>
      </c>
      <c r="P883">
        <v>4761904762</v>
      </c>
      <c r="Q883" s="3">
        <v>4072</v>
      </c>
      <c r="R883">
        <v>95</v>
      </c>
      <c r="S883" s="3">
        <f>G883*SuperMarket_Analysis[[#This Row],[Quantity]]</f>
        <v>8144</v>
      </c>
    </row>
    <row r="884" spans="1:19" x14ac:dyDescent="0.25">
      <c r="A884" s="1" t="s">
        <v>918</v>
      </c>
      <c r="B884" s="1" t="s">
        <v>41</v>
      </c>
      <c r="C884" s="1" t="s">
        <v>42</v>
      </c>
      <c r="D884" s="1" t="s">
        <v>20</v>
      </c>
      <c r="E884" s="1" t="s">
        <v>177</v>
      </c>
      <c r="F884" s="1" t="s">
        <v>35</v>
      </c>
      <c r="G884" s="3">
        <v>3199</v>
      </c>
      <c r="H884">
        <v>10</v>
      </c>
      <c r="I884" s="3">
        <v>15995</v>
      </c>
      <c r="J884">
        <v>335895</v>
      </c>
      <c r="K884" t="str">
        <f t="shared" si="13"/>
        <v>fevereiro</v>
      </c>
      <c r="L884" s="4">
        <v>43516</v>
      </c>
      <c r="M884" s="2">
        <v>0.63749999999999996</v>
      </c>
      <c r="N884" s="1" t="s">
        <v>32</v>
      </c>
      <c r="O884" s="3">
        <v>3199</v>
      </c>
      <c r="P884">
        <v>4761904762</v>
      </c>
      <c r="Q884" s="3">
        <v>15995</v>
      </c>
      <c r="R884">
        <v>99</v>
      </c>
      <c r="S884" s="3">
        <f>G884*SuperMarket_Analysis[[#This Row],[Quantity]]</f>
        <v>31990</v>
      </c>
    </row>
    <row r="885" spans="1:19" x14ac:dyDescent="0.25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3">
        <v>3442</v>
      </c>
      <c r="H885">
        <v>6</v>
      </c>
      <c r="I885" s="3">
        <v>10326</v>
      </c>
      <c r="J885">
        <v>216846</v>
      </c>
      <c r="K885" t="str">
        <f t="shared" si="13"/>
        <v>março</v>
      </c>
      <c r="L885" s="4">
        <v>43554</v>
      </c>
      <c r="M885" s="2">
        <v>0.53125</v>
      </c>
      <c r="N885" s="1" t="s">
        <v>23</v>
      </c>
      <c r="O885" s="3">
        <v>20652</v>
      </c>
      <c r="P885">
        <v>4761904762</v>
      </c>
      <c r="Q885" s="3">
        <v>10326</v>
      </c>
      <c r="R885">
        <v>75</v>
      </c>
      <c r="S885" s="3">
        <f>G885*SuperMarket_Analysis[[#This Row],[Quantity]]</f>
        <v>20652</v>
      </c>
    </row>
    <row r="886" spans="1:19" x14ac:dyDescent="0.25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43</v>
      </c>
      <c r="G886" s="3">
        <v>8334</v>
      </c>
      <c r="H886">
        <v>2</v>
      </c>
      <c r="I886" s="3">
        <v>8334</v>
      </c>
      <c r="J886">
        <v>175014</v>
      </c>
      <c r="K886" t="str">
        <f t="shared" si="13"/>
        <v>março</v>
      </c>
      <c r="L886" s="4">
        <v>43543</v>
      </c>
      <c r="M886" s="2">
        <v>0.56736111111111109</v>
      </c>
      <c r="N886" s="1" t="s">
        <v>29</v>
      </c>
      <c r="O886" s="3">
        <v>16668</v>
      </c>
      <c r="P886">
        <v>4761904762</v>
      </c>
      <c r="Q886" s="3">
        <v>8334</v>
      </c>
      <c r="R886">
        <v>76</v>
      </c>
      <c r="S886" s="3">
        <f>G886*SuperMarket_Analysis[[#This Row],[Quantity]]</f>
        <v>16668</v>
      </c>
    </row>
    <row r="887" spans="1:19" x14ac:dyDescent="0.25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177</v>
      </c>
      <c r="F887" s="1" t="s">
        <v>35</v>
      </c>
      <c r="G887" s="3">
        <v>4558</v>
      </c>
      <c r="H887">
        <v>7</v>
      </c>
      <c r="I887" s="3">
        <v>15953</v>
      </c>
      <c r="J887">
        <v>335013</v>
      </c>
      <c r="K887" t="str">
        <f t="shared" si="13"/>
        <v>janeiro</v>
      </c>
      <c r="L887" s="4">
        <v>43478</v>
      </c>
      <c r="M887" s="2">
        <v>0.41875000000000001</v>
      </c>
      <c r="N887" s="1" t="s">
        <v>29</v>
      </c>
      <c r="O887" s="3">
        <v>31906</v>
      </c>
      <c r="P887">
        <v>4761904762</v>
      </c>
      <c r="Q887" s="3">
        <v>15953</v>
      </c>
      <c r="R887">
        <v>5</v>
      </c>
      <c r="S887" s="3">
        <f>G887*SuperMarket_Analysis[[#This Row],[Quantity]]</f>
        <v>31906</v>
      </c>
    </row>
    <row r="888" spans="1:19" x14ac:dyDescent="0.25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177</v>
      </c>
      <c r="F888" s="1" t="s">
        <v>43</v>
      </c>
      <c r="G888" s="3">
        <v>879</v>
      </c>
      <c r="H888">
        <v>1</v>
      </c>
      <c r="I888" s="3">
        <v>4395</v>
      </c>
      <c r="J888">
        <v>92295</v>
      </c>
      <c r="K888" t="str">
        <f t="shared" si="13"/>
        <v>fevereiro</v>
      </c>
      <c r="L888" s="4">
        <v>43501</v>
      </c>
      <c r="M888" s="2">
        <v>0.8208333333333333</v>
      </c>
      <c r="N888" s="1" t="s">
        <v>23</v>
      </c>
      <c r="O888" s="3">
        <v>879</v>
      </c>
      <c r="P888">
        <v>4761904762</v>
      </c>
      <c r="Q888" s="3">
        <v>4395</v>
      </c>
      <c r="R888">
        <v>67</v>
      </c>
      <c r="S888" s="3">
        <f>G888*SuperMarket_Analysis[[#This Row],[Quantity]]</f>
        <v>879</v>
      </c>
    </row>
    <row r="889" spans="1:19" x14ac:dyDescent="0.25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3">
        <v>7347</v>
      </c>
      <c r="H889">
        <v>10</v>
      </c>
      <c r="I889" s="3">
        <v>36735</v>
      </c>
      <c r="J889">
        <v>771435</v>
      </c>
      <c r="K889" t="str">
        <f t="shared" si="13"/>
        <v>março</v>
      </c>
      <c r="L889" s="4">
        <v>43547</v>
      </c>
      <c r="M889" s="2">
        <v>0.55138888888888893</v>
      </c>
      <c r="N889" s="1" t="s">
        <v>23</v>
      </c>
      <c r="O889" s="3">
        <v>7347</v>
      </c>
      <c r="P889">
        <v>4761904762</v>
      </c>
      <c r="Q889" s="3">
        <v>36735</v>
      </c>
      <c r="R889">
        <v>95</v>
      </c>
      <c r="S889" s="3">
        <f>G889*SuperMarket_Analysis[[#This Row],[Quantity]]</f>
        <v>73470</v>
      </c>
    </row>
    <row r="890" spans="1:19" x14ac:dyDescent="0.25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45</v>
      </c>
      <c r="G890" s="3">
        <v>1219</v>
      </c>
      <c r="H890">
        <v>8</v>
      </c>
      <c r="I890" s="3">
        <v>4876</v>
      </c>
      <c r="J890">
        <v>102396</v>
      </c>
      <c r="K890" t="str">
        <f t="shared" si="13"/>
        <v>março</v>
      </c>
      <c r="L890" s="4">
        <v>43537</v>
      </c>
      <c r="M890" s="2">
        <v>0.53263888888888888</v>
      </c>
      <c r="N890" s="1" t="s">
        <v>23</v>
      </c>
      <c r="O890" s="3">
        <v>9752</v>
      </c>
      <c r="P890">
        <v>4761904762</v>
      </c>
      <c r="Q890" s="3">
        <v>4876</v>
      </c>
      <c r="R890">
        <v>68</v>
      </c>
      <c r="S890" s="3">
        <f>G890*SuperMarket_Analysis[[#This Row],[Quantity]]</f>
        <v>9752</v>
      </c>
    </row>
    <row r="891" spans="1:19" x14ac:dyDescent="0.25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177</v>
      </c>
      <c r="F891" s="1" t="s">
        <v>35</v>
      </c>
      <c r="G891" s="3">
        <v>7692</v>
      </c>
      <c r="H891">
        <v>10</v>
      </c>
      <c r="I891" s="3">
        <v>3846</v>
      </c>
      <c r="J891">
        <v>80766</v>
      </c>
      <c r="K891" t="str">
        <f t="shared" si="13"/>
        <v>março</v>
      </c>
      <c r="L891" s="4">
        <v>43541</v>
      </c>
      <c r="M891" s="2">
        <v>0.82847222222222228</v>
      </c>
      <c r="N891" s="1" t="s">
        <v>23</v>
      </c>
      <c r="O891" s="3">
        <v>7692</v>
      </c>
      <c r="P891">
        <v>4761904762</v>
      </c>
      <c r="Q891" s="3">
        <v>3846</v>
      </c>
      <c r="R891">
        <v>56</v>
      </c>
      <c r="S891" s="3">
        <f>G891*SuperMarket_Analysis[[#This Row],[Quantity]]</f>
        <v>76920</v>
      </c>
    </row>
    <row r="892" spans="1:19" x14ac:dyDescent="0.25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3">
        <v>8366</v>
      </c>
      <c r="H892">
        <v>5</v>
      </c>
      <c r="I892" s="3">
        <v>20915</v>
      </c>
      <c r="J892">
        <v>439215</v>
      </c>
      <c r="K892" t="str">
        <f t="shared" si="13"/>
        <v>fevereiro</v>
      </c>
      <c r="L892" s="4">
        <v>43517</v>
      </c>
      <c r="M892" s="2">
        <v>0.43472222222222223</v>
      </c>
      <c r="N892" s="1" t="s">
        <v>29</v>
      </c>
      <c r="O892" s="3">
        <v>4183</v>
      </c>
      <c r="P892">
        <v>4761904762</v>
      </c>
      <c r="Q892" s="3">
        <v>20915</v>
      </c>
      <c r="R892">
        <v>72</v>
      </c>
      <c r="S892" s="3">
        <f>G892*SuperMarket_Analysis[[#This Row],[Quantity]]</f>
        <v>41830</v>
      </c>
    </row>
    <row r="893" spans="1:19" x14ac:dyDescent="0.25">
      <c r="A893" s="1" t="s">
        <v>927</v>
      </c>
      <c r="B893" s="1" t="s">
        <v>41</v>
      </c>
      <c r="C893" s="1" t="s">
        <v>42</v>
      </c>
      <c r="D893" s="1" t="s">
        <v>27</v>
      </c>
      <c r="E893" s="1" t="s">
        <v>21</v>
      </c>
      <c r="F893" s="1" t="s">
        <v>28</v>
      </c>
      <c r="G893" s="3">
        <v>5791</v>
      </c>
      <c r="H893">
        <v>8</v>
      </c>
      <c r="I893" s="3">
        <v>23164</v>
      </c>
      <c r="J893">
        <v>486444</v>
      </c>
      <c r="K893" t="str">
        <f t="shared" si="13"/>
        <v>fevereiro</v>
      </c>
      <c r="L893" s="4">
        <v>43503</v>
      </c>
      <c r="M893" s="2">
        <v>0.62916666666666665</v>
      </c>
      <c r="N893" s="1" t="s">
        <v>29</v>
      </c>
      <c r="O893" s="3">
        <v>46328</v>
      </c>
      <c r="P893">
        <v>4761904762</v>
      </c>
      <c r="Q893" s="3">
        <v>23164</v>
      </c>
      <c r="R893">
        <v>81</v>
      </c>
      <c r="S893" s="3">
        <f>G893*SuperMarket_Analysis[[#This Row],[Quantity]]</f>
        <v>46328</v>
      </c>
    </row>
    <row r="894" spans="1:19" x14ac:dyDescent="0.25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45</v>
      </c>
      <c r="G894" s="3">
        <v>9249</v>
      </c>
      <c r="H894">
        <v>5</v>
      </c>
      <c r="I894" s="3">
        <v>231225</v>
      </c>
      <c r="J894">
        <v>4855725</v>
      </c>
      <c r="K894" t="str">
        <f t="shared" si="13"/>
        <v>março</v>
      </c>
      <c r="L894" s="4">
        <v>43526</v>
      </c>
      <c r="M894" s="2">
        <v>0.69097222222222221</v>
      </c>
      <c r="N894" s="1" t="s">
        <v>32</v>
      </c>
      <c r="O894" s="3">
        <v>46245</v>
      </c>
      <c r="P894">
        <v>4761904762</v>
      </c>
      <c r="Q894" s="3">
        <v>231225</v>
      </c>
      <c r="R894">
        <v>86</v>
      </c>
      <c r="S894" s="3">
        <f>G894*SuperMarket_Analysis[[#This Row],[Quantity]]</f>
        <v>46245</v>
      </c>
    </row>
    <row r="895" spans="1:19" x14ac:dyDescent="0.25">
      <c r="A895" s="1" t="s">
        <v>929</v>
      </c>
      <c r="B895" s="1" t="s">
        <v>41</v>
      </c>
      <c r="C895" s="1" t="s">
        <v>42</v>
      </c>
      <c r="D895" s="1" t="s">
        <v>27</v>
      </c>
      <c r="E895" s="1" t="s">
        <v>177</v>
      </c>
      <c r="F895" s="1" t="s">
        <v>28</v>
      </c>
      <c r="G895" s="3">
        <v>2838</v>
      </c>
      <c r="H895">
        <v>5</v>
      </c>
      <c r="I895" s="3">
        <v>7095</v>
      </c>
      <c r="J895">
        <v>148995</v>
      </c>
      <c r="K895" t="str">
        <f t="shared" si="13"/>
        <v>março</v>
      </c>
      <c r="L895" s="4">
        <v>43530</v>
      </c>
      <c r="M895" s="2">
        <v>0.87291666666666667</v>
      </c>
      <c r="N895" s="1" t="s">
        <v>29</v>
      </c>
      <c r="O895" s="3">
        <v>1419</v>
      </c>
      <c r="P895">
        <v>4761904762</v>
      </c>
      <c r="Q895" s="3">
        <v>7095</v>
      </c>
      <c r="R895">
        <v>94</v>
      </c>
      <c r="S895" s="3">
        <f>G895*SuperMarket_Analysis[[#This Row],[Quantity]]</f>
        <v>14190</v>
      </c>
    </row>
    <row r="896" spans="1:19" x14ac:dyDescent="0.25">
      <c r="A896" s="1" t="s">
        <v>930</v>
      </c>
      <c r="B896" s="1" t="s">
        <v>41</v>
      </c>
      <c r="C896" s="1" t="s">
        <v>42</v>
      </c>
      <c r="D896" s="1" t="s">
        <v>20</v>
      </c>
      <c r="E896" s="1" t="s">
        <v>177</v>
      </c>
      <c r="F896" s="1" t="s">
        <v>28</v>
      </c>
      <c r="G896" s="3">
        <v>5045</v>
      </c>
      <c r="H896">
        <v>6</v>
      </c>
      <c r="I896" s="3">
        <v>15135</v>
      </c>
      <c r="J896">
        <v>317835</v>
      </c>
      <c r="K896" t="str">
        <f t="shared" si="13"/>
        <v>fevereiro</v>
      </c>
      <c r="L896" s="4">
        <v>43502</v>
      </c>
      <c r="M896" s="2">
        <v>0.63611111111111107</v>
      </c>
      <c r="N896" s="1" t="s">
        <v>32</v>
      </c>
      <c r="O896" s="3">
        <v>3027</v>
      </c>
      <c r="P896">
        <v>4761904762</v>
      </c>
      <c r="Q896" s="3">
        <v>15135</v>
      </c>
      <c r="R896">
        <v>89</v>
      </c>
      <c r="S896" s="3">
        <f>G896*SuperMarket_Analysis[[#This Row],[Quantity]]</f>
        <v>30270</v>
      </c>
    </row>
    <row r="897" spans="1:19" x14ac:dyDescent="0.25">
      <c r="A897" s="1" t="s">
        <v>931</v>
      </c>
      <c r="B897" s="1" t="s">
        <v>41</v>
      </c>
      <c r="C897" s="1" t="s">
        <v>42</v>
      </c>
      <c r="D897" s="1" t="s">
        <v>27</v>
      </c>
      <c r="E897" s="1" t="s">
        <v>177</v>
      </c>
      <c r="F897" s="1" t="s">
        <v>22</v>
      </c>
      <c r="G897" s="3">
        <v>9916</v>
      </c>
      <c r="H897">
        <v>8</v>
      </c>
      <c r="I897" s="3">
        <v>39664</v>
      </c>
      <c r="J897">
        <v>832944</v>
      </c>
      <c r="K897" t="str">
        <f t="shared" si="13"/>
        <v>janeiro</v>
      </c>
      <c r="L897" s="4">
        <v>43493</v>
      </c>
      <c r="M897" s="2">
        <v>0.74097222222222225</v>
      </c>
      <c r="N897" s="1" t="s">
        <v>32</v>
      </c>
      <c r="O897" s="3">
        <v>79328</v>
      </c>
      <c r="P897">
        <v>4761904762</v>
      </c>
      <c r="Q897" s="3">
        <v>39664</v>
      </c>
      <c r="R897">
        <v>42</v>
      </c>
      <c r="S897" s="3">
        <f>G897*SuperMarket_Analysis[[#This Row],[Quantity]]</f>
        <v>79328</v>
      </c>
    </row>
    <row r="898" spans="1:19" x14ac:dyDescent="0.25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177</v>
      </c>
      <c r="F898" s="1" t="s">
        <v>45</v>
      </c>
      <c r="G898" s="3">
        <v>6074</v>
      </c>
      <c r="H898">
        <v>7</v>
      </c>
      <c r="I898" s="3">
        <v>21259</v>
      </c>
      <c r="J898">
        <v>446439</v>
      </c>
      <c r="K898" t="str">
        <f t="shared" ref="K898:K961" si="14">TEXT(L898, "mmmm")</f>
        <v>janeiro</v>
      </c>
      <c r="L898" s="4">
        <v>43483</v>
      </c>
      <c r="M898" s="2">
        <v>0.68263888888888891</v>
      </c>
      <c r="N898" s="1" t="s">
        <v>23</v>
      </c>
      <c r="O898" s="3">
        <v>42518</v>
      </c>
      <c r="P898">
        <v>4761904762</v>
      </c>
      <c r="Q898" s="3">
        <v>21259</v>
      </c>
      <c r="R898">
        <v>5</v>
      </c>
      <c r="S898" s="3">
        <f>G898*SuperMarket_Analysis[[#This Row],[Quantity]]</f>
        <v>42518</v>
      </c>
    </row>
    <row r="899" spans="1:19" x14ac:dyDescent="0.25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43</v>
      </c>
      <c r="G899" s="3">
        <v>4727</v>
      </c>
      <c r="H899">
        <v>6</v>
      </c>
      <c r="I899" s="3">
        <v>14181</v>
      </c>
      <c r="J899">
        <v>297801</v>
      </c>
      <c r="K899" t="str">
        <f t="shared" si="14"/>
        <v>fevereiro</v>
      </c>
      <c r="L899" s="4">
        <v>43501</v>
      </c>
      <c r="M899" s="2">
        <v>0.4284722222222222</v>
      </c>
      <c r="N899" s="1" t="s">
        <v>29</v>
      </c>
      <c r="O899" s="3">
        <v>28362</v>
      </c>
      <c r="P899">
        <v>4761904762</v>
      </c>
      <c r="Q899" s="3">
        <v>14181</v>
      </c>
      <c r="R899">
        <v>88</v>
      </c>
      <c r="S899" s="3">
        <f>G899*SuperMarket_Analysis[[#This Row],[Quantity]]</f>
        <v>28362</v>
      </c>
    </row>
    <row r="900" spans="1:19" x14ac:dyDescent="0.25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177</v>
      </c>
      <c r="F900" s="1" t="s">
        <v>22</v>
      </c>
      <c r="G900" s="3">
        <v>856</v>
      </c>
      <c r="H900">
        <v>7</v>
      </c>
      <c r="I900" s="3">
        <v>2996</v>
      </c>
      <c r="J900">
        <v>62916</v>
      </c>
      <c r="K900" t="str">
        <f t="shared" si="14"/>
        <v>março</v>
      </c>
      <c r="L900" s="4">
        <v>43526</v>
      </c>
      <c r="M900" s="2">
        <v>0.57638888888888884</v>
      </c>
      <c r="N900" s="1" t="s">
        <v>29</v>
      </c>
      <c r="O900" s="3">
        <v>5992</v>
      </c>
      <c r="P900">
        <v>4761904762</v>
      </c>
      <c r="Q900" s="3">
        <v>2996</v>
      </c>
      <c r="R900">
        <v>53</v>
      </c>
      <c r="S900" s="3">
        <f>G900*SuperMarket_Analysis[[#This Row],[Quantity]]</f>
        <v>5992</v>
      </c>
    </row>
    <row r="901" spans="1:19" x14ac:dyDescent="0.25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177</v>
      </c>
      <c r="F901" s="1" t="s">
        <v>43</v>
      </c>
      <c r="G901" s="3">
        <v>3504</v>
      </c>
      <c r="H901">
        <v>9</v>
      </c>
      <c r="I901" s="3">
        <v>15768</v>
      </c>
      <c r="J901">
        <v>331128</v>
      </c>
      <c r="K901" t="str">
        <f t="shared" si="14"/>
        <v>fevereiro</v>
      </c>
      <c r="L901" s="4">
        <v>43505</v>
      </c>
      <c r="M901" s="2">
        <v>0.80347222222222225</v>
      </c>
      <c r="N901" s="1" t="s">
        <v>23</v>
      </c>
      <c r="O901" s="3">
        <v>31536</v>
      </c>
      <c r="P901">
        <v>4761904762</v>
      </c>
      <c r="Q901" s="3">
        <v>15768</v>
      </c>
      <c r="R901">
        <v>46</v>
      </c>
      <c r="S901" s="3">
        <f>G901*SuperMarket_Analysis[[#This Row],[Quantity]]</f>
        <v>31536</v>
      </c>
    </row>
    <row r="902" spans="1:19" x14ac:dyDescent="0.25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3">
        <v>4484</v>
      </c>
      <c r="H902">
        <v>9</v>
      </c>
      <c r="I902" s="3">
        <v>20178</v>
      </c>
      <c r="J902">
        <v>423738</v>
      </c>
      <c r="K902" t="str">
        <f t="shared" si="14"/>
        <v>janeiro</v>
      </c>
      <c r="L902" s="4">
        <v>43479</v>
      </c>
      <c r="M902" s="2">
        <v>0.58333333333333337</v>
      </c>
      <c r="N902" s="1" t="s">
        <v>32</v>
      </c>
      <c r="O902" s="3">
        <v>40356</v>
      </c>
      <c r="P902">
        <v>4761904762</v>
      </c>
      <c r="Q902" s="3">
        <v>20178</v>
      </c>
      <c r="R902">
        <v>75</v>
      </c>
      <c r="S902" s="3">
        <f>G902*SuperMarket_Analysis[[#This Row],[Quantity]]</f>
        <v>40356</v>
      </c>
    </row>
    <row r="903" spans="1:19" x14ac:dyDescent="0.25">
      <c r="A903" s="1" t="s">
        <v>937</v>
      </c>
      <c r="B903" s="1" t="s">
        <v>41</v>
      </c>
      <c r="C903" s="1" t="s">
        <v>42</v>
      </c>
      <c r="D903" s="1" t="s">
        <v>27</v>
      </c>
      <c r="E903" s="1" t="s">
        <v>177</v>
      </c>
      <c r="F903" s="1" t="s">
        <v>31</v>
      </c>
      <c r="G903" s="3">
        <v>4597</v>
      </c>
      <c r="H903">
        <v>4</v>
      </c>
      <c r="I903" s="3">
        <v>9194</v>
      </c>
      <c r="J903">
        <v>193074</v>
      </c>
      <c r="K903" t="str">
        <f t="shared" si="14"/>
        <v>fevereiro</v>
      </c>
      <c r="L903" s="4">
        <v>43505</v>
      </c>
      <c r="M903" s="2">
        <v>0.50138888888888888</v>
      </c>
      <c r="N903" s="1" t="s">
        <v>23</v>
      </c>
      <c r="O903" s="3">
        <v>18388</v>
      </c>
      <c r="P903">
        <v>4761904762</v>
      </c>
      <c r="Q903" s="3">
        <v>9194</v>
      </c>
      <c r="R903">
        <v>51</v>
      </c>
      <c r="S903" s="3">
        <f>G903*SuperMarket_Analysis[[#This Row],[Quantity]]</f>
        <v>18388</v>
      </c>
    </row>
    <row r="904" spans="1:19" x14ac:dyDescent="0.25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3">
        <v>2773</v>
      </c>
      <c r="H904">
        <v>5</v>
      </c>
      <c r="I904" s="3">
        <v>69325</v>
      </c>
      <c r="J904">
        <v>1455825</v>
      </c>
      <c r="K904" t="str">
        <f t="shared" si="14"/>
        <v>março</v>
      </c>
      <c r="L904" s="4">
        <v>43550</v>
      </c>
      <c r="M904" s="2">
        <v>0.84791666666666665</v>
      </c>
      <c r="N904" s="1" t="s">
        <v>32</v>
      </c>
      <c r="O904" s="3">
        <v>13865</v>
      </c>
      <c r="P904">
        <v>4761904762</v>
      </c>
      <c r="Q904" s="3">
        <v>69325</v>
      </c>
      <c r="R904">
        <v>42</v>
      </c>
      <c r="S904" s="3">
        <f>G904*SuperMarket_Analysis[[#This Row],[Quantity]]</f>
        <v>13865</v>
      </c>
    </row>
    <row r="905" spans="1:19" x14ac:dyDescent="0.25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177</v>
      </c>
      <c r="F905" s="1" t="s">
        <v>43</v>
      </c>
      <c r="G905" s="3">
        <v>1153</v>
      </c>
      <c r="H905">
        <v>7</v>
      </c>
      <c r="I905" s="3">
        <v>40355</v>
      </c>
      <c r="J905">
        <v>847455</v>
      </c>
      <c r="K905" t="str">
        <f t="shared" si="14"/>
        <v>janeiro</v>
      </c>
      <c r="L905" s="4">
        <v>43493</v>
      </c>
      <c r="M905" s="2">
        <v>0.73263888888888884</v>
      </c>
      <c r="N905" s="1" t="s">
        <v>29</v>
      </c>
      <c r="O905" s="3">
        <v>8071</v>
      </c>
      <c r="P905">
        <v>4761904762</v>
      </c>
      <c r="Q905" s="3">
        <v>40355</v>
      </c>
      <c r="R905">
        <v>81</v>
      </c>
      <c r="S905" s="3">
        <f>G905*SuperMarket_Analysis[[#This Row],[Quantity]]</f>
        <v>8071</v>
      </c>
    </row>
    <row r="906" spans="1:19" x14ac:dyDescent="0.25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3">
        <v>5832</v>
      </c>
      <c r="H906">
        <v>2</v>
      </c>
      <c r="I906" s="3">
        <v>5832</v>
      </c>
      <c r="J906">
        <v>122472</v>
      </c>
      <c r="K906" t="str">
        <f t="shared" si="14"/>
        <v>fevereiro</v>
      </c>
      <c r="L906" s="4">
        <v>43510</v>
      </c>
      <c r="M906" s="2">
        <v>0.52916666666666667</v>
      </c>
      <c r="N906" s="1" t="s">
        <v>23</v>
      </c>
      <c r="O906" s="3">
        <v>11664</v>
      </c>
      <c r="P906">
        <v>4761904762</v>
      </c>
      <c r="Q906" s="3">
        <v>5832</v>
      </c>
      <c r="R906">
        <v>6</v>
      </c>
      <c r="S906" s="3">
        <f>G906*SuperMarket_Analysis[[#This Row],[Quantity]]</f>
        <v>11664</v>
      </c>
    </row>
    <row r="907" spans="1:19" x14ac:dyDescent="0.25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3">
        <v>7838</v>
      </c>
      <c r="H907">
        <v>4</v>
      </c>
      <c r="I907" s="3">
        <v>15676</v>
      </c>
      <c r="J907">
        <v>329196</v>
      </c>
      <c r="K907" t="str">
        <f t="shared" si="14"/>
        <v>março</v>
      </c>
      <c r="L907" s="4">
        <v>43548</v>
      </c>
      <c r="M907" s="2">
        <v>0.74722222222222223</v>
      </c>
      <c r="N907" s="1" t="s">
        <v>29</v>
      </c>
      <c r="O907" s="3">
        <v>31352</v>
      </c>
      <c r="P907">
        <v>4761904762</v>
      </c>
      <c r="Q907" s="3">
        <v>15676</v>
      </c>
      <c r="R907">
        <v>79</v>
      </c>
      <c r="S907" s="3">
        <f>G907*SuperMarket_Analysis[[#This Row],[Quantity]]</f>
        <v>31352</v>
      </c>
    </row>
    <row r="908" spans="1:19" x14ac:dyDescent="0.25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177</v>
      </c>
      <c r="F908" s="1" t="s">
        <v>22</v>
      </c>
      <c r="G908" s="3">
        <v>8461</v>
      </c>
      <c r="H908">
        <v>10</v>
      </c>
      <c r="I908" s="3">
        <v>42305</v>
      </c>
      <c r="J908">
        <v>888405</v>
      </c>
      <c r="K908" t="str">
        <f t="shared" si="14"/>
        <v>fevereiro</v>
      </c>
      <c r="L908" s="4">
        <v>43505</v>
      </c>
      <c r="M908" s="2">
        <v>0.79027777777777775</v>
      </c>
      <c r="N908" s="1" t="s">
        <v>32</v>
      </c>
      <c r="O908" s="3">
        <v>8461</v>
      </c>
      <c r="P908">
        <v>4761904762</v>
      </c>
      <c r="Q908" s="3">
        <v>42305</v>
      </c>
      <c r="R908">
        <v>88</v>
      </c>
      <c r="S908" s="3">
        <f>G908*SuperMarket_Analysis[[#This Row],[Quantity]]</f>
        <v>84610</v>
      </c>
    </row>
    <row r="909" spans="1:19" x14ac:dyDescent="0.25">
      <c r="A909" s="1" t="s">
        <v>943</v>
      </c>
      <c r="B909" s="1" t="s">
        <v>41</v>
      </c>
      <c r="C909" s="1" t="s">
        <v>42</v>
      </c>
      <c r="D909" s="1" t="s">
        <v>27</v>
      </c>
      <c r="E909" s="1" t="s">
        <v>21</v>
      </c>
      <c r="F909" s="1" t="s">
        <v>22</v>
      </c>
      <c r="G909" s="3">
        <v>8288</v>
      </c>
      <c r="H909">
        <v>5</v>
      </c>
      <c r="I909" s="3">
        <v>2072</v>
      </c>
      <c r="J909">
        <v>43512</v>
      </c>
      <c r="K909" t="str">
        <f t="shared" si="14"/>
        <v>março</v>
      </c>
      <c r="L909" s="4">
        <v>43548</v>
      </c>
      <c r="M909" s="2">
        <v>0.58888888888888891</v>
      </c>
      <c r="N909" s="1" t="s">
        <v>32</v>
      </c>
      <c r="O909" s="3">
        <v>4144</v>
      </c>
      <c r="P909">
        <v>4761904762</v>
      </c>
      <c r="Q909" s="3">
        <v>2072</v>
      </c>
      <c r="R909">
        <v>66</v>
      </c>
      <c r="S909" s="3">
        <f>G909*SuperMarket_Analysis[[#This Row],[Quantity]]</f>
        <v>41440</v>
      </c>
    </row>
    <row r="910" spans="1:19" x14ac:dyDescent="0.25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43</v>
      </c>
      <c r="G910" s="3">
        <v>7954</v>
      </c>
      <c r="H910">
        <v>2</v>
      </c>
      <c r="I910" s="3">
        <v>7954</v>
      </c>
      <c r="J910">
        <v>167034</v>
      </c>
      <c r="K910" t="str">
        <f t="shared" si="14"/>
        <v>março</v>
      </c>
      <c r="L910" s="4">
        <v>43551</v>
      </c>
      <c r="M910" s="2">
        <v>0.6875</v>
      </c>
      <c r="N910" s="1" t="s">
        <v>23</v>
      </c>
      <c r="O910" s="3">
        <v>15908</v>
      </c>
      <c r="P910">
        <v>4761904762</v>
      </c>
      <c r="Q910" s="3">
        <v>7954</v>
      </c>
      <c r="R910">
        <v>62</v>
      </c>
      <c r="S910" s="3">
        <f>G910*SuperMarket_Analysis[[#This Row],[Quantity]]</f>
        <v>15908</v>
      </c>
    </row>
    <row r="911" spans="1:19" x14ac:dyDescent="0.25">
      <c r="A911" s="1" t="s">
        <v>945</v>
      </c>
      <c r="B911" s="1" t="s">
        <v>41</v>
      </c>
      <c r="C911" s="1" t="s">
        <v>42</v>
      </c>
      <c r="D911" s="1" t="s">
        <v>27</v>
      </c>
      <c r="E911" s="1" t="s">
        <v>21</v>
      </c>
      <c r="F911" s="1" t="s">
        <v>31</v>
      </c>
      <c r="G911" s="3">
        <v>4901</v>
      </c>
      <c r="H911">
        <v>10</v>
      </c>
      <c r="I911" s="3">
        <v>24505</v>
      </c>
      <c r="J911">
        <v>514605</v>
      </c>
      <c r="K911" t="str">
        <f t="shared" si="14"/>
        <v>janeiro</v>
      </c>
      <c r="L911" s="4">
        <v>43492</v>
      </c>
      <c r="M911" s="2">
        <v>0.44722222222222224</v>
      </c>
      <c r="N911" s="1" t="s">
        <v>32</v>
      </c>
      <c r="O911" s="3">
        <v>4901</v>
      </c>
      <c r="P911">
        <v>4761904762</v>
      </c>
      <c r="Q911" s="3">
        <v>24505</v>
      </c>
      <c r="R911">
        <v>42</v>
      </c>
      <c r="S911" s="3">
        <f>G911*SuperMarket_Analysis[[#This Row],[Quantity]]</f>
        <v>49010</v>
      </c>
    </row>
    <row r="912" spans="1:19" x14ac:dyDescent="0.25">
      <c r="A912" s="1" t="s">
        <v>946</v>
      </c>
      <c r="B912" s="1" t="s">
        <v>41</v>
      </c>
      <c r="C912" s="1" t="s">
        <v>42</v>
      </c>
      <c r="D912" s="1" t="s">
        <v>20</v>
      </c>
      <c r="E912" s="1" t="s">
        <v>21</v>
      </c>
      <c r="F912" s="1" t="s">
        <v>43</v>
      </c>
      <c r="G912" s="3">
        <v>2915</v>
      </c>
      <c r="H912">
        <v>3</v>
      </c>
      <c r="I912" s="3">
        <v>43725</v>
      </c>
      <c r="J912">
        <v>918225</v>
      </c>
      <c r="K912" t="str">
        <f t="shared" si="14"/>
        <v>março</v>
      </c>
      <c r="L912" s="4">
        <v>43551</v>
      </c>
      <c r="M912" s="2">
        <v>0.85347222222222219</v>
      </c>
      <c r="N912" s="1" t="s">
        <v>32</v>
      </c>
      <c r="O912" s="3">
        <v>8745</v>
      </c>
      <c r="P912">
        <v>4761904762</v>
      </c>
      <c r="Q912" s="3">
        <v>43725</v>
      </c>
      <c r="R912">
        <v>73</v>
      </c>
      <c r="S912" s="3">
        <f>G912*SuperMarket_Analysis[[#This Row],[Quantity]]</f>
        <v>8745</v>
      </c>
    </row>
    <row r="913" spans="1:19" x14ac:dyDescent="0.25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3">
        <v>5613</v>
      </c>
      <c r="H913">
        <v>4</v>
      </c>
      <c r="I913" s="3">
        <v>11226</v>
      </c>
      <c r="J913">
        <v>235746</v>
      </c>
      <c r="K913" t="str">
        <f t="shared" si="14"/>
        <v>janeiro</v>
      </c>
      <c r="L913" s="4">
        <v>43484</v>
      </c>
      <c r="M913" s="2">
        <v>0.48819444444444443</v>
      </c>
      <c r="N913" s="1" t="s">
        <v>23</v>
      </c>
      <c r="O913" s="3">
        <v>22452</v>
      </c>
      <c r="P913">
        <v>4761904762</v>
      </c>
      <c r="Q913" s="3">
        <v>11226</v>
      </c>
      <c r="R913">
        <v>86</v>
      </c>
      <c r="S913" s="3">
        <f>G913*SuperMarket_Analysis[[#This Row],[Quantity]]</f>
        <v>22452</v>
      </c>
    </row>
    <row r="914" spans="1:19" x14ac:dyDescent="0.25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3">
        <v>9312</v>
      </c>
      <c r="H914">
        <v>8</v>
      </c>
      <c r="I914" s="3">
        <v>37248</v>
      </c>
      <c r="J914">
        <v>782208</v>
      </c>
      <c r="K914" t="str">
        <f t="shared" si="14"/>
        <v>fevereiro</v>
      </c>
      <c r="L914" s="4">
        <v>43503</v>
      </c>
      <c r="M914" s="2">
        <v>0.42291666666666666</v>
      </c>
      <c r="N914" s="1" t="s">
        <v>29</v>
      </c>
      <c r="O914" s="3">
        <v>74496</v>
      </c>
      <c r="P914">
        <v>4761904762</v>
      </c>
      <c r="Q914" s="3">
        <v>37248</v>
      </c>
      <c r="R914">
        <v>68</v>
      </c>
      <c r="S914" s="3">
        <f>G914*SuperMarket_Analysis[[#This Row],[Quantity]]</f>
        <v>74496</v>
      </c>
    </row>
    <row r="915" spans="1:19" x14ac:dyDescent="0.25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177</v>
      </c>
      <c r="F915" s="1" t="s">
        <v>45</v>
      </c>
      <c r="G915" s="3">
        <v>5134</v>
      </c>
      <c r="H915">
        <v>8</v>
      </c>
      <c r="I915" s="3">
        <v>20536</v>
      </c>
      <c r="J915">
        <v>431256</v>
      </c>
      <c r="K915" t="str">
        <f t="shared" si="14"/>
        <v>janeiro</v>
      </c>
      <c r="L915" s="4">
        <v>43496</v>
      </c>
      <c r="M915" s="2">
        <v>0.41666666666666669</v>
      </c>
      <c r="N915" s="1" t="s">
        <v>23</v>
      </c>
      <c r="O915" s="3">
        <v>41072</v>
      </c>
      <c r="P915">
        <v>4761904762</v>
      </c>
      <c r="Q915" s="3">
        <v>20536</v>
      </c>
      <c r="R915">
        <v>76</v>
      </c>
      <c r="S915" s="3">
        <f>G915*SuperMarket_Analysis[[#This Row],[Quantity]]</f>
        <v>41072</v>
      </c>
    </row>
    <row r="916" spans="1:19" x14ac:dyDescent="0.25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43</v>
      </c>
      <c r="G916" s="3">
        <v>996</v>
      </c>
      <c r="H916">
        <v>3</v>
      </c>
      <c r="I916" s="3">
        <v>1494</v>
      </c>
      <c r="J916">
        <v>31374</v>
      </c>
      <c r="K916" t="str">
        <f t="shared" si="14"/>
        <v>fevereiro</v>
      </c>
      <c r="L916" s="4">
        <v>43521</v>
      </c>
      <c r="M916" s="2">
        <v>0.78125</v>
      </c>
      <c r="N916" s="1" t="s">
        <v>29</v>
      </c>
      <c r="O916" s="3">
        <v>2988</v>
      </c>
      <c r="P916">
        <v>4761904762</v>
      </c>
      <c r="Q916" s="3">
        <v>1494</v>
      </c>
      <c r="R916">
        <v>58</v>
      </c>
      <c r="S916" s="3">
        <f>G916*SuperMarket_Analysis[[#This Row],[Quantity]]</f>
        <v>2988</v>
      </c>
    </row>
    <row r="917" spans="1:19" x14ac:dyDescent="0.25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3">
        <v>3549</v>
      </c>
      <c r="H917">
        <v>6</v>
      </c>
      <c r="I917" s="3">
        <v>10647</v>
      </c>
      <c r="J917">
        <v>223587</v>
      </c>
      <c r="K917" t="str">
        <f t="shared" si="14"/>
        <v>fevereiro</v>
      </c>
      <c r="L917" s="4">
        <v>43498</v>
      </c>
      <c r="M917" s="2">
        <v>0.52777777777777779</v>
      </c>
      <c r="N917" s="1" t="s">
        <v>29</v>
      </c>
      <c r="O917" s="3">
        <v>21294</v>
      </c>
      <c r="P917">
        <v>4761904762</v>
      </c>
      <c r="Q917" s="3">
        <v>10647</v>
      </c>
      <c r="R917">
        <v>41</v>
      </c>
      <c r="S917" s="3">
        <f>G917*SuperMarket_Analysis[[#This Row],[Quantity]]</f>
        <v>21294</v>
      </c>
    </row>
    <row r="918" spans="1:19" x14ac:dyDescent="0.25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177</v>
      </c>
      <c r="F918" s="1" t="s">
        <v>35</v>
      </c>
      <c r="G918" s="3">
        <v>4285</v>
      </c>
      <c r="H918">
        <v>1</v>
      </c>
      <c r="I918" s="3">
        <v>21425</v>
      </c>
      <c r="J918">
        <v>449925</v>
      </c>
      <c r="K918" t="str">
        <f t="shared" si="14"/>
        <v>março</v>
      </c>
      <c r="L918" s="4">
        <v>43538</v>
      </c>
      <c r="M918" s="2">
        <v>0.65</v>
      </c>
      <c r="N918" s="1" t="s">
        <v>32</v>
      </c>
      <c r="O918" s="3">
        <v>4285</v>
      </c>
      <c r="P918">
        <v>4761904762</v>
      </c>
      <c r="Q918" s="3">
        <v>21425</v>
      </c>
      <c r="R918">
        <v>93</v>
      </c>
      <c r="S918" s="3">
        <f>G918*SuperMarket_Analysis[[#This Row],[Quantity]]</f>
        <v>4285</v>
      </c>
    </row>
    <row r="919" spans="1:19" x14ac:dyDescent="0.25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45</v>
      </c>
      <c r="G919" s="3">
        <v>9467</v>
      </c>
      <c r="H919">
        <v>4</v>
      </c>
      <c r="I919" s="3">
        <v>18934</v>
      </c>
      <c r="J919">
        <v>397614</v>
      </c>
      <c r="K919" t="str">
        <f t="shared" si="14"/>
        <v>março</v>
      </c>
      <c r="L919" s="4">
        <v>43535</v>
      </c>
      <c r="M919" s="2">
        <v>0.50277777777777777</v>
      </c>
      <c r="N919" s="1" t="s">
        <v>29</v>
      </c>
      <c r="O919" s="3">
        <v>37868</v>
      </c>
      <c r="P919">
        <v>4761904762</v>
      </c>
      <c r="Q919" s="3">
        <v>18934</v>
      </c>
      <c r="R919">
        <v>68</v>
      </c>
      <c r="S919" s="3">
        <f>G919*SuperMarket_Analysis[[#This Row],[Quantity]]</f>
        <v>37868</v>
      </c>
    </row>
    <row r="920" spans="1:19" x14ac:dyDescent="0.25">
      <c r="A920" s="1" t="s">
        <v>954</v>
      </c>
      <c r="B920" s="1" t="s">
        <v>41</v>
      </c>
      <c r="C920" s="1" t="s">
        <v>42</v>
      </c>
      <c r="D920" s="1" t="s">
        <v>27</v>
      </c>
      <c r="E920" s="1" t="s">
        <v>177</v>
      </c>
      <c r="F920" s="1" t="s">
        <v>31</v>
      </c>
      <c r="G920" s="3">
        <v>6897</v>
      </c>
      <c r="H920">
        <v>3</v>
      </c>
      <c r="I920" s="3">
        <v>103455</v>
      </c>
      <c r="J920">
        <v>2172555</v>
      </c>
      <c r="K920" t="str">
        <f t="shared" si="14"/>
        <v>fevereiro</v>
      </c>
      <c r="L920" s="4">
        <v>43518</v>
      </c>
      <c r="M920" s="2">
        <v>0.47638888888888886</v>
      </c>
      <c r="N920" s="1" t="s">
        <v>23</v>
      </c>
      <c r="O920" s="3">
        <v>20691</v>
      </c>
      <c r="P920">
        <v>4761904762</v>
      </c>
      <c r="Q920" s="3">
        <v>103455</v>
      </c>
      <c r="R920">
        <v>87</v>
      </c>
      <c r="S920" s="3">
        <f>G920*SuperMarket_Analysis[[#This Row],[Quantity]]</f>
        <v>20691</v>
      </c>
    </row>
    <row r="921" spans="1:19" x14ac:dyDescent="0.25">
      <c r="A921" s="1" t="s">
        <v>955</v>
      </c>
      <c r="B921" s="1" t="s">
        <v>41</v>
      </c>
      <c r="C921" s="1" t="s">
        <v>42</v>
      </c>
      <c r="D921" s="1" t="s">
        <v>20</v>
      </c>
      <c r="E921" s="1" t="s">
        <v>21</v>
      </c>
      <c r="F921" s="1" t="s">
        <v>28</v>
      </c>
      <c r="G921" s="3">
        <v>2626</v>
      </c>
      <c r="H921">
        <v>3</v>
      </c>
      <c r="I921" s="3">
        <v>3939</v>
      </c>
      <c r="J921">
        <v>82719</v>
      </c>
      <c r="K921" t="str">
        <f t="shared" si="14"/>
        <v>março</v>
      </c>
      <c r="L921" s="4">
        <v>43526</v>
      </c>
      <c r="M921" s="2">
        <v>0.52500000000000002</v>
      </c>
      <c r="N921" s="1" t="s">
        <v>23</v>
      </c>
      <c r="O921" s="3">
        <v>7878</v>
      </c>
      <c r="P921">
        <v>4761904762</v>
      </c>
      <c r="Q921" s="3">
        <v>3939</v>
      </c>
      <c r="R921">
        <v>63</v>
      </c>
      <c r="S921" s="3">
        <f>G921*SuperMarket_Analysis[[#This Row],[Quantity]]</f>
        <v>7878</v>
      </c>
    </row>
    <row r="922" spans="1:19" x14ac:dyDescent="0.25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3">
        <v>3579</v>
      </c>
      <c r="H922">
        <v>9</v>
      </c>
      <c r="I922" s="3">
        <v>161055</v>
      </c>
      <c r="J922">
        <v>3382155</v>
      </c>
      <c r="K922" t="str">
        <f t="shared" si="14"/>
        <v>março</v>
      </c>
      <c r="L922" s="4">
        <v>43534</v>
      </c>
      <c r="M922" s="2">
        <v>0.62916666666666665</v>
      </c>
      <c r="N922" s="1" t="s">
        <v>32</v>
      </c>
      <c r="O922" s="3">
        <v>32211</v>
      </c>
      <c r="P922">
        <v>4761904762</v>
      </c>
      <c r="Q922" s="3">
        <v>161055</v>
      </c>
      <c r="R922">
        <v>51</v>
      </c>
      <c r="S922" s="3">
        <f>G922*SuperMarket_Analysis[[#This Row],[Quantity]]</f>
        <v>32211</v>
      </c>
    </row>
    <row r="923" spans="1:19" x14ac:dyDescent="0.25">
      <c r="A923" s="1" t="s">
        <v>957</v>
      </c>
      <c r="B923" s="1" t="s">
        <v>41</v>
      </c>
      <c r="C923" s="1" t="s">
        <v>42</v>
      </c>
      <c r="D923" s="1" t="s">
        <v>27</v>
      </c>
      <c r="E923" s="1" t="s">
        <v>21</v>
      </c>
      <c r="F923" s="1" t="s">
        <v>31</v>
      </c>
      <c r="G923" s="3">
        <v>1637</v>
      </c>
      <c r="H923">
        <v>6</v>
      </c>
      <c r="I923" s="3">
        <v>4911</v>
      </c>
      <c r="J923">
        <v>103131</v>
      </c>
      <c r="K923" t="str">
        <f t="shared" si="14"/>
        <v>fevereiro</v>
      </c>
      <c r="L923" s="4">
        <v>43504</v>
      </c>
      <c r="M923" s="2">
        <v>0.45694444444444443</v>
      </c>
      <c r="N923" s="1" t="s">
        <v>29</v>
      </c>
      <c r="O923" s="3">
        <v>9822</v>
      </c>
      <c r="P923">
        <v>4761904762</v>
      </c>
      <c r="Q923" s="3">
        <v>4911</v>
      </c>
      <c r="R923">
        <v>7</v>
      </c>
      <c r="S923" s="3">
        <f>G923*SuperMarket_Analysis[[#This Row],[Quantity]]</f>
        <v>9822</v>
      </c>
    </row>
    <row r="924" spans="1:19" x14ac:dyDescent="0.25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3">
        <v>1273</v>
      </c>
      <c r="H924">
        <v>2</v>
      </c>
      <c r="I924" s="3">
        <v>1273</v>
      </c>
      <c r="J924">
        <v>26733</v>
      </c>
      <c r="K924" t="str">
        <f t="shared" si="14"/>
        <v>fevereiro</v>
      </c>
      <c r="L924" s="4">
        <v>43518</v>
      </c>
      <c r="M924" s="2">
        <v>0.50694444444444442</v>
      </c>
      <c r="N924" s="1" t="s">
        <v>32</v>
      </c>
      <c r="O924" s="3">
        <v>2546</v>
      </c>
      <c r="P924">
        <v>4761904762</v>
      </c>
      <c r="Q924" s="3">
        <v>1273</v>
      </c>
      <c r="R924">
        <v>52</v>
      </c>
      <c r="S924" s="3">
        <f>G924*SuperMarket_Analysis[[#This Row],[Quantity]]</f>
        <v>2546</v>
      </c>
    </row>
    <row r="925" spans="1:19" x14ac:dyDescent="0.25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35</v>
      </c>
      <c r="G925" s="3">
        <v>8314</v>
      </c>
      <c r="H925">
        <v>7</v>
      </c>
      <c r="I925" s="3">
        <v>29099</v>
      </c>
      <c r="J925">
        <v>611079</v>
      </c>
      <c r="K925" t="str">
        <f t="shared" si="14"/>
        <v>janeiro</v>
      </c>
      <c r="L925" s="4">
        <v>43475</v>
      </c>
      <c r="M925" s="2">
        <v>0.43819444444444444</v>
      </c>
      <c r="N925" s="1" t="s">
        <v>32</v>
      </c>
      <c r="O925" s="3">
        <v>58198</v>
      </c>
      <c r="P925">
        <v>4761904762</v>
      </c>
      <c r="Q925" s="3">
        <v>29099</v>
      </c>
      <c r="R925">
        <v>66</v>
      </c>
      <c r="S925" s="3">
        <f>G925*SuperMarket_Analysis[[#This Row],[Quantity]]</f>
        <v>58198</v>
      </c>
    </row>
    <row r="926" spans="1:19" x14ac:dyDescent="0.25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35</v>
      </c>
      <c r="G926" s="3">
        <v>3522</v>
      </c>
      <c r="H926">
        <v>6</v>
      </c>
      <c r="I926" s="3">
        <v>10566</v>
      </c>
      <c r="J926">
        <v>221886</v>
      </c>
      <c r="K926" t="str">
        <f t="shared" si="14"/>
        <v>março</v>
      </c>
      <c r="L926" s="4">
        <v>43538</v>
      </c>
      <c r="M926" s="2">
        <v>0.5756944444444444</v>
      </c>
      <c r="N926" s="1" t="s">
        <v>23</v>
      </c>
      <c r="O926" s="3">
        <v>21132</v>
      </c>
      <c r="P926">
        <v>4761904762</v>
      </c>
      <c r="Q926" s="3">
        <v>10566</v>
      </c>
      <c r="R926">
        <v>65</v>
      </c>
      <c r="S926" s="3">
        <f>G926*SuperMarket_Analysis[[#This Row],[Quantity]]</f>
        <v>21132</v>
      </c>
    </row>
    <row r="927" spans="1:19" x14ac:dyDescent="0.25">
      <c r="A927" s="1" t="s">
        <v>961</v>
      </c>
      <c r="B927" s="1" t="s">
        <v>41</v>
      </c>
      <c r="C927" s="1" t="s">
        <v>42</v>
      </c>
      <c r="D927" s="1" t="s">
        <v>27</v>
      </c>
      <c r="E927" s="1" t="s">
        <v>21</v>
      </c>
      <c r="F927" s="1" t="s">
        <v>28</v>
      </c>
      <c r="G927" s="3">
        <v>1378</v>
      </c>
      <c r="H927">
        <v>4</v>
      </c>
      <c r="I927" s="3">
        <v>2756</v>
      </c>
      <c r="J927">
        <v>57876</v>
      </c>
      <c r="K927" t="str">
        <f t="shared" si="14"/>
        <v>janeiro</v>
      </c>
      <c r="L927" s="4">
        <v>43475</v>
      </c>
      <c r="M927" s="2">
        <v>0.46527777777777779</v>
      </c>
      <c r="N927" s="1" t="s">
        <v>23</v>
      </c>
      <c r="O927" s="3">
        <v>5512</v>
      </c>
      <c r="P927">
        <v>4761904762</v>
      </c>
      <c r="Q927" s="3">
        <v>2756</v>
      </c>
      <c r="R927">
        <v>9</v>
      </c>
      <c r="S927" s="3">
        <f>G927*SuperMarket_Analysis[[#This Row],[Quantity]]</f>
        <v>5512</v>
      </c>
    </row>
    <row r="928" spans="1:19" x14ac:dyDescent="0.25">
      <c r="A928" s="1" t="s">
        <v>962</v>
      </c>
      <c r="B928" s="1" t="s">
        <v>41</v>
      </c>
      <c r="C928" s="1" t="s">
        <v>42</v>
      </c>
      <c r="D928" s="1" t="s">
        <v>20</v>
      </c>
      <c r="E928" s="1" t="s">
        <v>177</v>
      </c>
      <c r="F928" s="1" t="s">
        <v>35</v>
      </c>
      <c r="G928" s="3">
        <v>8831</v>
      </c>
      <c r="H928">
        <v>1</v>
      </c>
      <c r="I928" s="3">
        <v>44155</v>
      </c>
      <c r="J928">
        <v>927255</v>
      </c>
      <c r="K928" t="str">
        <f t="shared" si="14"/>
        <v>fevereiro</v>
      </c>
      <c r="L928" s="4">
        <v>43511</v>
      </c>
      <c r="M928" s="2">
        <v>0.73472222222222228</v>
      </c>
      <c r="N928" s="1" t="s">
        <v>32</v>
      </c>
      <c r="O928" s="3">
        <v>8831</v>
      </c>
      <c r="P928">
        <v>4761904762</v>
      </c>
      <c r="Q928" s="3">
        <v>44155</v>
      </c>
      <c r="R928">
        <v>52</v>
      </c>
      <c r="S928" s="3">
        <f>G928*SuperMarket_Analysis[[#This Row],[Quantity]]</f>
        <v>8831</v>
      </c>
    </row>
    <row r="929" spans="1:19" x14ac:dyDescent="0.25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3">
        <v>3962</v>
      </c>
      <c r="H929">
        <v>9</v>
      </c>
      <c r="I929" s="3">
        <v>17829</v>
      </c>
      <c r="J929">
        <v>374409</v>
      </c>
      <c r="K929" t="str">
        <f t="shared" si="14"/>
        <v>janeiro</v>
      </c>
      <c r="L929" s="4">
        <v>43478</v>
      </c>
      <c r="M929" s="2">
        <v>0.74583333333333335</v>
      </c>
      <c r="N929" s="1" t="s">
        <v>32</v>
      </c>
      <c r="O929" s="3">
        <v>35658</v>
      </c>
      <c r="P929">
        <v>4761904762</v>
      </c>
      <c r="Q929" s="3">
        <v>17829</v>
      </c>
      <c r="R929">
        <v>68</v>
      </c>
      <c r="S929" s="3">
        <f>G929*SuperMarket_Analysis[[#This Row],[Quantity]]</f>
        <v>35658</v>
      </c>
    </row>
    <row r="930" spans="1:19" x14ac:dyDescent="0.25">
      <c r="A930" s="1" t="s">
        <v>964</v>
      </c>
      <c r="B930" s="1" t="s">
        <v>41</v>
      </c>
      <c r="C930" s="1" t="s">
        <v>42</v>
      </c>
      <c r="D930" s="1" t="s">
        <v>27</v>
      </c>
      <c r="E930" s="1" t="s">
        <v>21</v>
      </c>
      <c r="F930" s="1" t="s">
        <v>28</v>
      </c>
      <c r="G930" s="3">
        <v>8825</v>
      </c>
      <c r="H930">
        <v>9</v>
      </c>
      <c r="I930" s="3">
        <v>397125</v>
      </c>
      <c r="J930">
        <v>8339625</v>
      </c>
      <c r="K930" t="str">
        <f t="shared" si="14"/>
        <v>fevereiro</v>
      </c>
      <c r="L930" s="4">
        <v>43511</v>
      </c>
      <c r="M930" s="2">
        <v>0.86875000000000002</v>
      </c>
      <c r="N930" s="1" t="s">
        <v>32</v>
      </c>
      <c r="O930" s="3">
        <v>79425</v>
      </c>
      <c r="P930">
        <v>4761904762</v>
      </c>
      <c r="Q930" s="3">
        <v>397125</v>
      </c>
      <c r="R930">
        <v>76</v>
      </c>
      <c r="S930" s="3">
        <f>G930*SuperMarket_Analysis[[#This Row],[Quantity]]</f>
        <v>79425</v>
      </c>
    </row>
    <row r="931" spans="1:19" x14ac:dyDescent="0.25">
      <c r="A931" s="1" t="s">
        <v>965</v>
      </c>
      <c r="B931" s="1" t="s">
        <v>41</v>
      </c>
      <c r="C931" s="1" t="s">
        <v>42</v>
      </c>
      <c r="D931" s="1" t="s">
        <v>27</v>
      </c>
      <c r="E931" s="1" t="s">
        <v>177</v>
      </c>
      <c r="F931" s="1" t="s">
        <v>35</v>
      </c>
      <c r="G931" s="3">
        <v>2531</v>
      </c>
      <c r="H931">
        <v>2</v>
      </c>
      <c r="I931" s="3">
        <v>2531</v>
      </c>
      <c r="J931">
        <v>53151</v>
      </c>
      <c r="K931" t="str">
        <f t="shared" si="14"/>
        <v>março</v>
      </c>
      <c r="L931" s="4">
        <v>43526</v>
      </c>
      <c r="M931" s="2">
        <v>0.80972222222222223</v>
      </c>
      <c r="N931" s="1" t="s">
        <v>23</v>
      </c>
      <c r="O931" s="3">
        <v>5062</v>
      </c>
      <c r="P931">
        <v>4761904762</v>
      </c>
      <c r="Q931" s="3">
        <v>2531</v>
      </c>
      <c r="R931">
        <v>72</v>
      </c>
      <c r="S931" s="3">
        <f>G931*SuperMarket_Analysis[[#This Row],[Quantity]]</f>
        <v>5062</v>
      </c>
    </row>
    <row r="932" spans="1:19" x14ac:dyDescent="0.25">
      <c r="A932" s="1" t="s">
        <v>966</v>
      </c>
      <c r="B932" s="1" t="s">
        <v>41</v>
      </c>
      <c r="C932" s="1" t="s">
        <v>42</v>
      </c>
      <c r="D932" s="1" t="s">
        <v>27</v>
      </c>
      <c r="E932" s="1" t="s">
        <v>177</v>
      </c>
      <c r="F932" s="1" t="s">
        <v>31</v>
      </c>
      <c r="G932" s="3">
        <v>9992</v>
      </c>
      <c r="H932">
        <v>6</v>
      </c>
      <c r="I932" s="3">
        <v>29976</v>
      </c>
      <c r="J932">
        <v>629496</v>
      </c>
      <c r="K932" t="str">
        <f t="shared" si="14"/>
        <v>março</v>
      </c>
      <c r="L932" s="4">
        <v>43548</v>
      </c>
      <c r="M932" s="2">
        <v>0.56458333333333333</v>
      </c>
      <c r="N932" s="1" t="s">
        <v>23</v>
      </c>
      <c r="O932" s="3">
        <v>59952</v>
      </c>
      <c r="P932">
        <v>4761904762</v>
      </c>
      <c r="Q932" s="3">
        <v>29976</v>
      </c>
      <c r="R932">
        <v>71</v>
      </c>
      <c r="S932" s="3">
        <f>G932*SuperMarket_Analysis[[#This Row],[Quantity]]</f>
        <v>59952</v>
      </c>
    </row>
    <row r="933" spans="1:19" x14ac:dyDescent="0.25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45</v>
      </c>
      <c r="G933" s="3">
        <v>8335</v>
      </c>
      <c r="H933">
        <v>2</v>
      </c>
      <c r="I933" s="3">
        <v>8335</v>
      </c>
      <c r="J933">
        <v>175035</v>
      </c>
      <c r="K933" t="str">
        <f t="shared" si="14"/>
        <v>fevereiro</v>
      </c>
      <c r="L933" s="4">
        <v>43498</v>
      </c>
      <c r="M933" s="2">
        <v>0.58680555555555558</v>
      </c>
      <c r="N933" s="1" t="s">
        <v>32</v>
      </c>
      <c r="O933" s="3">
        <v>1667</v>
      </c>
      <c r="P933">
        <v>4761904762</v>
      </c>
      <c r="Q933" s="3">
        <v>8335</v>
      </c>
      <c r="R933">
        <v>95</v>
      </c>
      <c r="S933" s="3">
        <f>G933*SuperMarket_Analysis[[#This Row],[Quantity]]</f>
        <v>16670</v>
      </c>
    </row>
    <row r="934" spans="1:19" x14ac:dyDescent="0.25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43</v>
      </c>
      <c r="G934" s="3">
        <v>7444</v>
      </c>
      <c r="H934">
        <v>10</v>
      </c>
      <c r="I934" s="3">
        <v>3722</v>
      </c>
      <c r="J934">
        <v>78162</v>
      </c>
      <c r="K934" t="str">
        <f t="shared" si="14"/>
        <v>fevereiro</v>
      </c>
      <c r="L934" s="4">
        <v>43523</v>
      </c>
      <c r="M934" s="2">
        <v>0.4861111111111111</v>
      </c>
      <c r="N934" s="1" t="s">
        <v>23</v>
      </c>
      <c r="O934" s="3">
        <v>7444</v>
      </c>
      <c r="P934">
        <v>4761904762</v>
      </c>
      <c r="Q934" s="3">
        <v>3722</v>
      </c>
      <c r="R934">
        <v>51</v>
      </c>
      <c r="S934" s="3">
        <f>G934*SuperMarket_Analysis[[#This Row],[Quantity]]</f>
        <v>74440</v>
      </c>
    </row>
    <row r="935" spans="1:19" x14ac:dyDescent="0.25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177</v>
      </c>
      <c r="F935" s="1" t="s">
        <v>22</v>
      </c>
      <c r="G935" s="3">
        <v>6408</v>
      </c>
      <c r="H935">
        <v>7</v>
      </c>
      <c r="I935" s="3">
        <v>22428</v>
      </c>
      <c r="J935">
        <v>470988</v>
      </c>
      <c r="K935" t="str">
        <f t="shared" si="14"/>
        <v>janeiro</v>
      </c>
      <c r="L935" s="4">
        <v>43485</v>
      </c>
      <c r="M935" s="2">
        <v>0.51875000000000004</v>
      </c>
      <c r="N935" s="1" t="s">
        <v>23</v>
      </c>
      <c r="O935" s="3">
        <v>44856</v>
      </c>
      <c r="P935">
        <v>4761904762</v>
      </c>
      <c r="Q935" s="3">
        <v>22428</v>
      </c>
      <c r="R935">
        <v>76</v>
      </c>
      <c r="S935" s="3">
        <f>G935*SuperMarket_Analysis[[#This Row],[Quantity]]</f>
        <v>44856</v>
      </c>
    </row>
    <row r="936" spans="1:19" x14ac:dyDescent="0.25">
      <c r="A936" s="1" t="s">
        <v>970</v>
      </c>
      <c r="B936" s="1" t="s">
        <v>41</v>
      </c>
      <c r="C936" s="1" t="s">
        <v>42</v>
      </c>
      <c r="D936" s="1" t="s">
        <v>27</v>
      </c>
      <c r="E936" s="1" t="s">
        <v>21</v>
      </c>
      <c r="F936" s="1" t="s">
        <v>31</v>
      </c>
      <c r="G936" s="3">
        <v>6315</v>
      </c>
      <c r="H936">
        <v>6</v>
      </c>
      <c r="I936" s="3">
        <v>18945</v>
      </c>
      <c r="J936">
        <v>397845</v>
      </c>
      <c r="K936" t="str">
        <f t="shared" si="14"/>
        <v>janeiro</v>
      </c>
      <c r="L936" s="4">
        <v>43468</v>
      </c>
      <c r="M936" s="2">
        <v>0.85</v>
      </c>
      <c r="N936" s="1" t="s">
        <v>23</v>
      </c>
      <c r="O936" s="3">
        <v>3789</v>
      </c>
      <c r="P936">
        <v>4761904762</v>
      </c>
      <c r="Q936" s="3">
        <v>18945</v>
      </c>
      <c r="R936">
        <v>98</v>
      </c>
      <c r="S936" s="3">
        <f>G936*SuperMarket_Analysis[[#This Row],[Quantity]]</f>
        <v>37890</v>
      </c>
    </row>
    <row r="937" spans="1:19" x14ac:dyDescent="0.25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177</v>
      </c>
      <c r="F937" s="1" t="s">
        <v>31</v>
      </c>
      <c r="G937" s="3">
        <v>8572</v>
      </c>
      <c r="H937">
        <v>3</v>
      </c>
      <c r="I937" s="3">
        <v>12858</v>
      </c>
      <c r="J937">
        <v>270018</v>
      </c>
      <c r="K937" t="str">
        <f t="shared" si="14"/>
        <v>janeiro</v>
      </c>
      <c r="L937" s="4">
        <v>43489</v>
      </c>
      <c r="M937" s="2">
        <v>0.87430555555555556</v>
      </c>
      <c r="N937" s="1" t="s">
        <v>23</v>
      </c>
      <c r="O937" s="3">
        <v>25716</v>
      </c>
      <c r="P937">
        <v>4761904762</v>
      </c>
      <c r="Q937" s="3">
        <v>12858</v>
      </c>
      <c r="R937">
        <v>51</v>
      </c>
      <c r="S937" s="3">
        <f>G937*SuperMarket_Analysis[[#This Row],[Quantity]]</f>
        <v>25716</v>
      </c>
    </row>
    <row r="938" spans="1:19" x14ac:dyDescent="0.25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3">
        <v>7889</v>
      </c>
      <c r="H938">
        <v>7</v>
      </c>
      <c r="I938" s="3">
        <v>276115</v>
      </c>
      <c r="J938">
        <v>5798415</v>
      </c>
      <c r="K938" t="str">
        <f t="shared" si="14"/>
        <v>janeiro</v>
      </c>
      <c r="L938" s="4">
        <v>43470</v>
      </c>
      <c r="M938" s="2">
        <v>0.82499999999999996</v>
      </c>
      <c r="N938" s="1" t="s">
        <v>23</v>
      </c>
      <c r="O938" s="3">
        <v>55223</v>
      </c>
      <c r="P938">
        <v>4761904762</v>
      </c>
      <c r="Q938" s="3">
        <v>276115</v>
      </c>
      <c r="R938">
        <v>75</v>
      </c>
      <c r="S938" s="3">
        <f>G938*SuperMarket_Analysis[[#This Row],[Quantity]]</f>
        <v>55223</v>
      </c>
    </row>
    <row r="939" spans="1:19" x14ac:dyDescent="0.25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35</v>
      </c>
      <c r="G939" s="3">
        <v>8948</v>
      </c>
      <c r="H939">
        <v>5</v>
      </c>
      <c r="I939" s="3">
        <v>2237</v>
      </c>
      <c r="J939">
        <v>46977</v>
      </c>
      <c r="K939" t="str">
        <f t="shared" si="14"/>
        <v>março</v>
      </c>
      <c r="L939" s="4">
        <v>43554</v>
      </c>
      <c r="M939" s="2">
        <v>0.42916666666666664</v>
      </c>
      <c r="N939" s="1" t="s">
        <v>29</v>
      </c>
      <c r="O939" s="3">
        <v>4474</v>
      </c>
      <c r="P939">
        <v>4761904762</v>
      </c>
      <c r="Q939" s="3">
        <v>2237</v>
      </c>
      <c r="R939">
        <v>74</v>
      </c>
      <c r="S939" s="3">
        <f>G939*SuperMarket_Analysis[[#This Row],[Quantity]]</f>
        <v>44740</v>
      </c>
    </row>
    <row r="940" spans="1:19" x14ac:dyDescent="0.25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3">
        <v>9209</v>
      </c>
      <c r="H940">
        <v>3</v>
      </c>
      <c r="I940" s="3">
        <v>138135</v>
      </c>
      <c r="J940">
        <v>2900835</v>
      </c>
      <c r="K940" t="str">
        <f t="shared" si="14"/>
        <v>fevereiro</v>
      </c>
      <c r="L940" s="4">
        <v>43513</v>
      </c>
      <c r="M940" s="2">
        <v>0.68541666666666667</v>
      </c>
      <c r="N940" s="1" t="s">
        <v>29</v>
      </c>
      <c r="O940" s="3">
        <v>27627</v>
      </c>
      <c r="P940">
        <v>4761904762</v>
      </c>
      <c r="Q940" s="3">
        <v>138135</v>
      </c>
      <c r="R940">
        <v>42</v>
      </c>
      <c r="S940" s="3">
        <f>G940*SuperMarket_Analysis[[#This Row],[Quantity]]</f>
        <v>27627</v>
      </c>
    </row>
    <row r="941" spans="1:19" x14ac:dyDescent="0.25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43</v>
      </c>
      <c r="G941" s="3">
        <v>5729</v>
      </c>
      <c r="H941">
        <v>6</v>
      </c>
      <c r="I941" s="3">
        <v>17187</v>
      </c>
      <c r="J941">
        <v>360927</v>
      </c>
      <c r="K941" t="str">
        <f t="shared" si="14"/>
        <v>março</v>
      </c>
      <c r="L941" s="4">
        <v>43545</v>
      </c>
      <c r="M941" s="2">
        <v>0.71111111111111114</v>
      </c>
      <c r="N941" s="1" t="s">
        <v>23</v>
      </c>
      <c r="O941" s="3">
        <v>34374</v>
      </c>
      <c r="P941">
        <v>4761904762</v>
      </c>
      <c r="Q941" s="3">
        <v>17187</v>
      </c>
      <c r="R941">
        <v>59</v>
      </c>
      <c r="S941" s="3">
        <f>G941*SuperMarket_Analysis[[#This Row],[Quantity]]</f>
        <v>34374</v>
      </c>
    </row>
    <row r="942" spans="1:19" x14ac:dyDescent="0.25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177</v>
      </c>
      <c r="F942" s="1" t="s">
        <v>43</v>
      </c>
      <c r="G942" s="3">
        <v>6652</v>
      </c>
      <c r="H942">
        <v>4</v>
      </c>
      <c r="I942" s="3">
        <v>13304</v>
      </c>
      <c r="J942">
        <v>279384</v>
      </c>
      <c r="K942" t="str">
        <f t="shared" si="14"/>
        <v>março</v>
      </c>
      <c r="L942" s="4">
        <v>43526</v>
      </c>
      <c r="M942" s="2">
        <v>0.75972222222222219</v>
      </c>
      <c r="N942" s="1" t="s">
        <v>23</v>
      </c>
      <c r="O942" s="3">
        <v>26608</v>
      </c>
      <c r="P942">
        <v>4761904762</v>
      </c>
      <c r="Q942" s="3">
        <v>13304</v>
      </c>
      <c r="R942">
        <v>69</v>
      </c>
      <c r="S942" s="3">
        <f>G942*SuperMarket_Analysis[[#This Row],[Quantity]]</f>
        <v>26608</v>
      </c>
    </row>
    <row r="943" spans="1:19" x14ac:dyDescent="0.25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177</v>
      </c>
      <c r="F943" s="1" t="s">
        <v>45</v>
      </c>
      <c r="G943" s="3">
        <v>9982</v>
      </c>
      <c r="H943">
        <v>9</v>
      </c>
      <c r="I943" s="3">
        <v>44919</v>
      </c>
      <c r="J943">
        <v>943299</v>
      </c>
      <c r="K943" t="str">
        <f t="shared" si="14"/>
        <v>março</v>
      </c>
      <c r="L943" s="4">
        <v>43551</v>
      </c>
      <c r="M943" s="2">
        <v>0.4465277777777778</v>
      </c>
      <c r="N943" s="1" t="s">
        <v>29</v>
      </c>
      <c r="O943" s="3">
        <v>89838</v>
      </c>
      <c r="P943">
        <v>4761904762</v>
      </c>
      <c r="Q943" s="3">
        <v>44919</v>
      </c>
      <c r="R943">
        <v>66</v>
      </c>
      <c r="S943" s="3">
        <f>G943*SuperMarket_Analysis[[#This Row],[Quantity]]</f>
        <v>89838</v>
      </c>
    </row>
    <row r="944" spans="1:19" x14ac:dyDescent="0.25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3">
        <v>4568</v>
      </c>
      <c r="H944">
        <v>10</v>
      </c>
      <c r="I944" s="3">
        <v>2284</v>
      </c>
      <c r="J944">
        <v>47964</v>
      </c>
      <c r="K944" t="str">
        <f t="shared" si="14"/>
        <v>janeiro</v>
      </c>
      <c r="L944" s="4">
        <v>43484</v>
      </c>
      <c r="M944" s="2">
        <v>0.8125</v>
      </c>
      <c r="N944" s="1" t="s">
        <v>23</v>
      </c>
      <c r="O944" s="3">
        <v>4568</v>
      </c>
      <c r="P944">
        <v>4761904762</v>
      </c>
      <c r="Q944" s="3">
        <v>2284</v>
      </c>
      <c r="R944">
        <v>57</v>
      </c>
      <c r="S944" s="3">
        <f>G944*SuperMarket_Analysis[[#This Row],[Quantity]]</f>
        <v>45680</v>
      </c>
    </row>
    <row r="945" spans="1:19" x14ac:dyDescent="0.25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177</v>
      </c>
      <c r="F945" s="1" t="s">
        <v>22</v>
      </c>
      <c r="G945" s="3">
        <v>5079</v>
      </c>
      <c r="H945">
        <v>5</v>
      </c>
      <c r="I945" s="3">
        <v>126975</v>
      </c>
      <c r="J945">
        <v>2666475</v>
      </c>
      <c r="K945" t="str">
        <f t="shared" si="14"/>
        <v>fevereiro</v>
      </c>
      <c r="L945" s="4">
        <v>43515</v>
      </c>
      <c r="M945" s="2">
        <v>0.62013888888888891</v>
      </c>
      <c r="N945" s="1" t="s">
        <v>32</v>
      </c>
      <c r="O945" s="3">
        <v>25395</v>
      </c>
      <c r="P945">
        <v>4761904762</v>
      </c>
      <c r="Q945" s="3">
        <v>126975</v>
      </c>
      <c r="R945">
        <v>53</v>
      </c>
      <c r="S945" s="3">
        <f>G945*SuperMarket_Analysis[[#This Row],[Quantity]]</f>
        <v>25395</v>
      </c>
    </row>
    <row r="946" spans="1:19" x14ac:dyDescent="0.25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177</v>
      </c>
      <c r="F946" s="1" t="s">
        <v>22</v>
      </c>
      <c r="G946" s="3">
        <v>1008</v>
      </c>
      <c r="H946">
        <v>7</v>
      </c>
      <c r="I946" s="3">
        <v>3528</v>
      </c>
      <c r="J946">
        <v>74088</v>
      </c>
      <c r="K946" t="str">
        <f t="shared" si="14"/>
        <v>março</v>
      </c>
      <c r="L946" s="4">
        <v>43552</v>
      </c>
      <c r="M946" s="2">
        <v>0.84305555555555556</v>
      </c>
      <c r="N946" s="1" t="s">
        <v>29</v>
      </c>
      <c r="O946" s="3">
        <v>7056</v>
      </c>
      <c r="P946">
        <v>4761904762</v>
      </c>
      <c r="Q946" s="3">
        <v>3528</v>
      </c>
      <c r="R946">
        <v>42</v>
      </c>
      <c r="S946" s="3">
        <f>G946*SuperMarket_Analysis[[#This Row],[Quantity]]</f>
        <v>7056</v>
      </c>
    </row>
    <row r="947" spans="1:19" x14ac:dyDescent="0.25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3">
        <v>9388</v>
      </c>
      <c r="H947">
        <v>7</v>
      </c>
      <c r="I947" s="3">
        <v>32858</v>
      </c>
      <c r="J947">
        <v>690018</v>
      </c>
      <c r="K947" t="str">
        <f t="shared" si="14"/>
        <v>janeiro</v>
      </c>
      <c r="L947" s="4">
        <v>43470</v>
      </c>
      <c r="M947" s="2">
        <v>0.49375000000000002</v>
      </c>
      <c r="N947" s="1" t="s">
        <v>32</v>
      </c>
      <c r="O947" s="3">
        <v>65716</v>
      </c>
      <c r="P947">
        <v>4761904762</v>
      </c>
      <c r="Q947" s="3">
        <v>32858</v>
      </c>
      <c r="R947">
        <v>73</v>
      </c>
      <c r="S947" s="3">
        <f>G947*SuperMarket_Analysis[[#This Row],[Quantity]]</f>
        <v>65716</v>
      </c>
    </row>
    <row r="948" spans="1:19" x14ac:dyDescent="0.25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177</v>
      </c>
      <c r="F948" s="1" t="s">
        <v>28</v>
      </c>
      <c r="G948" s="3">
        <v>8425</v>
      </c>
      <c r="H948">
        <v>2</v>
      </c>
      <c r="I948" s="3">
        <v>8425</v>
      </c>
      <c r="J948">
        <v>176925</v>
      </c>
      <c r="K948" t="str">
        <f t="shared" si="14"/>
        <v>março</v>
      </c>
      <c r="L948" s="4">
        <v>43550</v>
      </c>
      <c r="M948" s="2">
        <v>0.59236111111111112</v>
      </c>
      <c r="N948" s="1" t="s">
        <v>32</v>
      </c>
      <c r="O948" s="3">
        <v>1685</v>
      </c>
      <c r="P948">
        <v>4761904762</v>
      </c>
      <c r="Q948" s="3">
        <v>8425</v>
      </c>
      <c r="R948">
        <v>53</v>
      </c>
      <c r="S948" s="3">
        <f>G948*SuperMarket_Analysis[[#This Row],[Quantity]]</f>
        <v>16850</v>
      </c>
    </row>
    <row r="949" spans="1:19" x14ac:dyDescent="0.25">
      <c r="A949" s="1" t="s">
        <v>983</v>
      </c>
      <c r="B949" s="1" t="s">
        <v>41</v>
      </c>
      <c r="C949" s="1" t="s">
        <v>42</v>
      </c>
      <c r="D949" s="1" t="s">
        <v>20</v>
      </c>
      <c r="E949" s="1" t="s">
        <v>177</v>
      </c>
      <c r="F949" s="1" t="s">
        <v>45</v>
      </c>
      <c r="G949" s="3">
        <v>5378</v>
      </c>
      <c r="H949">
        <v>1</v>
      </c>
      <c r="I949" s="3">
        <v>2689</v>
      </c>
      <c r="J949">
        <v>56469</v>
      </c>
      <c r="K949" t="str">
        <f t="shared" si="14"/>
        <v>fevereiro</v>
      </c>
      <c r="L949" s="4">
        <v>43499</v>
      </c>
      <c r="M949" s="2">
        <v>0.84236111111111112</v>
      </c>
      <c r="N949" s="1" t="s">
        <v>23</v>
      </c>
      <c r="O949" s="3">
        <v>5378</v>
      </c>
      <c r="P949">
        <v>4761904762</v>
      </c>
      <c r="Q949" s="3">
        <v>2689</v>
      </c>
      <c r="R949">
        <v>47</v>
      </c>
      <c r="S949" s="3">
        <f>G949*SuperMarket_Analysis[[#This Row],[Quantity]]</f>
        <v>5378</v>
      </c>
    </row>
    <row r="950" spans="1:19" x14ac:dyDescent="0.25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177</v>
      </c>
      <c r="F950" s="1" t="s">
        <v>31</v>
      </c>
      <c r="G950" s="3">
        <v>3581</v>
      </c>
      <c r="H950">
        <v>5</v>
      </c>
      <c r="I950" s="3">
        <v>89525</v>
      </c>
      <c r="J950">
        <v>1880025</v>
      </c>
      <c r="K950" t="str">
        <f t="shared" si="14"/>
        <v>fevereiro</v>
      </c>
      <c r="L950" s="4">
        <v>43502</v>
      </c>
      <c r="M950" s="2">
        <v>0.78055555555555556</v>
      </c>
      <c r="N950" s="1" t="s">
        <v>23</v>
      </c>
      <c r="O950" s="3">
        <v>17905</v>
      </c>
      <c r="P950">
        <v>4761904762</v>
      </c>
      <c r="Q950" s="3">
        <v>89525</v>
      </c>
      <c r="R950">
        <v>79</v>
      </c>
      <c r="S950" s="3">
        <f>G950*SuperMarket_Analysis[[#This Row],[Quantity]]</f>
        <v>17905</v>
      </c>
    </row>
    <row r="951" spans="1:19" x14ac:dyDescent="0.25">
      <c r="A951" s="1" t="s">
        <v>985</v>
      </c>
      <c r="B951" s="1" t="s">
        <v>41</v>
      </c>
      <c r="C951" s="1" t="s">
        <v>42</v>
      </c>
      <c r="D951" s="1" t="s">
        <v>27</v>
      </c>
      <c r="E951" s="1" t="s">
        <v>21</v>
      </c>
      <c r="F951" s="1" t="s">
        <v>43</v>
      </c>
      <c r="G951" s="3">
        <v>2643</v>
      </c>
      <c r="H951">
        <v>8</v>
      </c>
      <c r="I951" s="3">
        <v>10572</v>
      </c>
      <c r="J951">
        <v>222012</v>
      </c>
      <c r="K951" t="str">
        <f t="shared" si="14"/>
        <v>fevereiro</v>
      </c>
      <c r="L951" s="4">
        <v>43520</v>
      </c>
      <c r="M951" s="2">
        <v>0.60138888888888886</v>
      </c>
      <c r="N951" s="1" t="s">
        <v>23</v>
      </c>
      <c r="O951" s="3">
        <v>21144</v>
      </c>
      <c r="P951">
        <v>4761904762</v>
      </c>
      <c r="Q951" s="3">
        <v>10572</v>
      </c>
      <c r="R951">
        <v>89</v>
      </c>
      <c r="S951" s="3">
        <f>G951*SuperMarket_Analysis[[#This Row],[Quantity]]</f>
        <v>21144</v>
      </c>
    </row>
    <row r="952" spans="1:19" x14ac:dyDescent="0.25">
      <c r="A952" s="1" t="s">
        <v>986</v>
      </c>
      <c r="B952" s="1" t="s">
        <v>41</v>
      </c>
      <c r="C952" s="1" t="s">
        <v>42</v>
      </c>
      <c r="D952" s="1" t="s">
        <v>20</v>
      </c>
      <c r="E952" s="1" t="s">
        <v>177</v>
      </c>
      <c r="F952" s="1" t="s">
        <v>22</v>
      </c>
      <c r="G952" s="3">
        <v>3991</v>
      </c>
      <c r="H952">
        <v>3</v>
      </c>
      <c r="I952" s="3">
        <v>59865</v>
      </c>
      <c r="J952">
        <v>1257165</v>
      </c>
      <c r="K952" t="str">
        <f t="shared" si="14"/>
        <v>fevereiro</v>
      </c>
      <c r="L952" s="4">
        <v>43517</v>
      </c>
      <c r="M952" s="2">
        <v>0.52777777777777779</v>
      </c>
      <c r="N952" s="1" t="s">
        <v>23</v>
      </c>
      <c r="O952" s="3">
        <v>11973</v>
      </c>
      <c r="P952">
        <v>4761904762</v>
      </c>
      <c r="Q952" s="3">
        <v>59865</v>
      </c>
      <c r="R952">
        <v>93</v>
      </c>
      <c r="S952" s="3">
        <f>G952*SuperMarket_Analysis[[#This Row],[Quantity]]</f>
        <v>11973</v>
      </c>
    </row>
    <row r="953" spans="1:19" x14ac:dyDescent="0.25">
      <c r="A953" s="1" t="s">
        <v>987</v>
      </c>
      <c r="B953" s="1" t="s">
        <v>41</v>
      </c>
      <c r="C953" s="1" t="s">
        <v>42</v>
      </c>
      <c r="D953" s="1" t="s">
        <v>20</v>
      </c>
      <c r="E953" s="1" t="s">
        <v>21</v>
      </c>
      <c r="F953" s="1" t="s">
        <v>31</v>
      </c>
      <c r="G953" s="3">
        <v>219</v>
      </c>
      <c r="H953">
        <v>3</v>
      </c>
      <c r="I953" s="3">
        <v>3285</v>
      </c>
      <c r="J953">
        <v>68985</v>
      </c>
      <c r="K953" t="str">
        <f t="shared" si="14"/>
        <v>janeiro</v>
      </c>
      <c r="L953" s="4">
        <v>43474</v>
      </c>
      <c r="M953" s="2">
        <v>0.77986111111111112</v>
      </c>
      <c r="N953" s="1" t="s">
        <v>23</v>
      </c>
      <c r="O953" s="3">
        <v>657</v>
      </c>
      <c r="P953">
        <v>4761904762</v>
      </c>
      <c r="Q953" s="3">
        <v>3285</v>
      </c>
      <c r="R953">
        <v>47</v>
      </c>
      <c r="S953" s="3">
        <f>G953*SuperMarket_Analysis[[#This Row],[Quantity]]</f>
        <v>657</v>
      </c>
    </row>
    <row r="954" spans="1:19" x14ac:dyDescent="0.25">
      <c r="A954" s="1" t="s">
        <v>988</v>
      </c>
      <c r="B954" s="1" t="s">
        <v>41</v>
      </c>
      <c r="C954" s="1" t="s">
        <v>42</v>
      </c>
      <c r="D954" s="1" t="s">
        <v>20</v>
      </c>
      <c r="E954" s="1" t="s">
        <v>21</v>
      </c>
      <c r="F954" s="1" t="s">
        <v>43</v>
      </c>
      <c r="G954" s="3">
        <v>6285</v>
      </c>
      <c r="H954">
        <v>4</v>
      </c>
      <c r="I954" s="3">
        <v>1257</v>
      </c>
      <c r="J954">
        <v>26397</v>
      </c>
      <c r="K954" t="str">
        <f t="shared" si="14"/>
        <v>fevereiro</v>
      </c>
      <c r="L954" s="4">
        <v>43521</v>
      </c>
      <c r="M954" s="2">
        <v>0.55694444444444446</v>
      </c>
      <c r="N954" s="1" t="s">
        <v>23</v>
      </c>
      <c r="O954" s="3">
        <v>2514</v>
      </c>
      <c r="P954">
        <v>4761904762</v>
      </c>
      <c r="Q954" s="3">
        <v>1257</v>
      </c>
      <c r="R954">
        <v>87</v>
      </c>
      <c r="S954" s="3">
        <f>G954*SuperMarket_Analysis[[#This Row],[Quantity]]</f>
        <v>25140</v>
      </c>
    </row>
    <row r="955" spans="1:19" x14ac:dyDescent="0.25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43</v>
      </c>
      <c r="G955" s="3">
        <v>2104</v>
      </c>
      <c r="H955">
        <v>4</v>
      </c>
      <c r="I955" s="3">
        <v>4208</v>
      </c>
      <c r="J955">
        <v>88368</v>
      </c>
      <c r="K955" t="str">
        <f t="shared" si="14"/>
        <v>janeiro</v>
      </c>
      <c r="L955" s="4">
        <v>43478</v>
      </c>
      <c r="M955" s="2">
        <v>0.58194444444444449</v>
      </c>
      <c r="N955" s="1" t="s">
        <v>29</v>
      </c>
      <c r="O955" s="3">
        <v>8416</v>
      </c>
      <c r="P955">
        <v>4761904762</v>
      </c>
      <c r="Q955" s="3">
        <v>4208</v>
      </c>
      <c r="R955">
        <v>76</v>
      </c>
      <c r="S955" s="3">
        <f>G955*SuperMarket_Analysis[[#This Row],[Quantity]]</f>
        <v>8416</v>
      </c>
    </row>
    <row r="956" spans="1:19" x14ac:dyDescent="0.25">
      <c r="A956" s="1" t="s">
        <v>990</v>
      </c>
      <c r="B956" s="1" t="s">
        <v>41</v>
      </c>
      <c r="C956" s="1" t="s">
        <v>42</v>
      </c>
      <c r="D956" s="1" t="s">
        <v>20</v>
      </c>
      <c r="E956" s="1" t="s">
        <v>177</v>
      </c>
      <c r="F956" s="1" t="s">
        <v>31</v>
      </c>
      <c r="G956" s="3">
        <v>6591</v>
      </c>
      <c r="H956">
        <v>6</v>
      </c>
      <c r="I956" s="3">
        <v>19773</v>
      </c>
      <c r="J956">
        <v>415233</v>
      </c>
      <c r="K956" t="str">
        <f t="shared" si="14"/>
        <v>fevereiro</v>
      </c>
      <c r="L956" s="4">
        <v>43505</v>
      </c>
      <c r="M956" s="2">
        <v>0.48958333333333331</v>
      </c>
      <c r="N956" s="1" t="s">
        <v>29</v>
      </c>
      <c r="O956" s="3">
        <v>39546</v>
      </c>
      <c r="P956">
        <v>4761904762</v>
      </c>
      <c r="Q956" s="3">
        <v>19773</v>
      </c>
      <c r="R956">
        <v>57</v>
      </c>
      <c r="S956" s="3">
        <f>G956*SuperMarket_Analysis[[#This Row],[Quantity]]</f>
        <v>39546</v>
      </c>
    </row>
    <row r="957" spans="1:19" x14ac:dyDescent="0.25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45</v>
      </c>
      <c r="G957" s="3">
        <v>4257</v>
      </c>
      <c r="H957">
        <v>7</v>
      </c>
      <c r="I957" s="3">
        <v>148995</v>
      </c>
      <c r="J957">
        <v>3128895</v>
      </c>
      <c r="K957" t="str">
        <f t="shared" si="14"/>
        <v>janeiro</v>
      </c>
      <c r="L957" s="4">
        <v>43471</v>
      </c>
      <c r="M957" s="2">
        <v>0.49375000000000002</v>
      </c>
      <c r="N957" s="1" t="s">
        <v>29</v>
      </c>
      <c r="O957" s="3">
        <v>29799</v>
      </c>
      <c r="P957">
        <v>4761904762</v>
      </c>
      <c r="Q957" s="3">
        <v>148995</v>
      </c>
      <c r="R957">
        <v>68</v>
      </c>
      <c r="S957" s="3">
        <f>G957*SuperMarket_Analysis[[#This Row],[Quantity]]</f>
        <v>29799</v>
      </c>
    </row>
    <row r="958" spans="1:19" x14ac:dyDescent="0.25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177</v>
      </c>
      <c r="F958" s="1" t="s">
        <v>43</v>
      </c>
      <c r="G958" s="3">
        <v>5049</v>
      </c>
      <c r="H958">
        <v>9</v>
      </c>
      <c r="I958" s="3">
        <v>227205</v>
      </c>
      <c r="J958">
        <v>4771305</v>
      </c>
      <c r="K958" t="str">
        <f t="shared" si="14"/>
        <v>janeiro</v>
      </c>
      <c r="L958" s="4">
        <v>43475</v>
      </c>
      <c r="M958" s="2">
        <v>0.71944444444444444</v>
      </c>
      <c r="N958" s="1" t="s">
        <v>29</v>
      </c>
      <c r="O958" s="3">
        <v>45441</v>
      </c>
      <c r="P958">
        <v>4761904762</v>
      </c>
      <c r="Q958" s="3">
        <v>227205</v>
      </c>
      <c r="R958">
        <v>54</v>
      </c>
      <c r="S958" s="3">
        <f>G958*SuperMarket_Analysis[[#This Row],[Quantity]]</f>
        <v>45441</v>
      </c>
    </row>
    <row r="959" spans="1:19" x14ac:dyDescent="0.25">
      <c r="A959" s="1" t="s">
        <v>993</v>
      </c>
      <c r="B959" s="1" t="s">
        <v>41</v>
      </c>
      <c r="C959" s="1" t="s">
        <v>42</v>
      </c>
      <c r="D959" s="1" t="s">
        <v>27</v>
      </c>
      <c r="E959" s="1" t="s">
        <v>177</v>
      </c>
      <c r="F959" s="1" t="s">
        <v>28</v>
      </c>
      <c r="G959" s="3">
        <v>4602</v>
      </c>
      <c r="H959">
        <v>6</v>
      </c>
      <c r="I959" s="3">
        <v>13806</v>
      </c>
      <c r="J959">
        <v>289926</v>
      </c>
      <c r="K959" t="str">
        <f t="shared" si="14"/>
        <v>fevereiro</v>
      </c>
      <c r="L959" s="4">
        <v>43503</v>
      </c>
      <c r="M959" s="2">
        <v>0.66319444444444442</v>
      </c>
      <c r="N959" s="1" t="s">
        <v>29</v>
      </c>
      <c r="O959" s="3">
        <v>27612</v>
      </c>
      <c r="P959">
        <v>4761904762</v>
      </c>
      <c r="Q959" s="3">
        <v>13806</v>
      </c>
      <c r="R959">
        <v>71</v>
      </c>
      <c r="S959" s="3">
        <f>G959*SuperMarket_Analysis[[#This Row],[Quantity]]</f>
        <v>27612</v>
      </c>
    </row>
    <row r="960" spans="1:19" x14ac:dyDescent="0.25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3">
        <v>158</v>
      </c>
      <c r="H960">
        <v>10</v>
      </c>
      <c r="I960" s="3">
        <v>79</v>
      </c>
      <c r="J960">
        <v>1659</v>
      </c>
      <c r="K960" t="str">
        <f t="shared" si="14"/>
        <v>janeiro</v>
      </c>
      <c r="L960" s="4">
        <v>43474</v>
      </c>
      <c r="M960" s="2">
        <v>0.50486111111111109</v>
      </c>
      <c r="N960" s="1" t="s">
        <v>29</v>
      </c>
      <c r="O960" s="3">
        <v>158</v>
      </c>
      <c r="P960">
        <v>4761904762</v>
      </c>
      <c r="Q960" s="3">
        <v>79</v>
      </c>
      <c r="R960">
        <v>78</v>
      </c>
      <c r="S960" s="3">
        <f>G960*SuperMarket_Analysis[[#This Row],[Quantity]]</f>
        <v>1580</v>
      </c>
    </row>
    <row r="961" spans="1:19" x14ac:dyDescent="0.25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43</v>
      </c>
      <c r="G961" s="3">
        <v>9866</v>
      </c>
      <c r="H961">
        <v>9</v>
      </c>
      <c r="I961" s="3">
        <v>44397</v>
      </c>
      <c r="J961">
        <v>932337</v>
      </c>
      <c r="K961" t="str">
        <f t="shared" si="14"/>
        <v>fevereiro</v>
      </c>
      <c r="L961" s="4">
        <v>43515</v>
      </c>
      <c r="M961" s="2">
        <v>0.62986111111111109</v>
      </c>
      <c r="N961" s="1" t="s">
        <v>29</v>
      </c>
      <c r="O961" s="3">
        <v>88794</v>
      </c>
      <c r="P961">
        <v>4761904762</v>
      </c>
      <c r="Q961" s="3">
        <v>44397</v>
      </c>
      <c r="R961">
        <v>84</v>
      </c>
      <c r="S961" s="3">
        <f>G961*SuperMarket_Analysis[[#This Row],[Quantity]]</f>
        <v>88794</v>
      </c>
    </row>
    <row r="962" spans="1:19" x14ac:dyDescent="0.25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177</v>
      </c>
      <c r="F962" s="1" t="s">
        <v>45</v>
      </c>
      <c r="G962" s="3">
        <v>9198</v>
      </c>
      <c r="H962">
        <v>1</v>
      </c>
      <c r="I962" s="3">
        <v>4599</v>
      </c>
      <c r="J962">
        <v>96579</v>
      </c>
      <c r="K962" t="str">
        <f t="shared" ref="K962:K1001" si="15">TEXT(L962, "mmmm")</f>
        <v>março</v>
      </c>
      <c r="L962" s="4">
        <v>43542</v>
      </c>
      <c r="M962" s="2">
        <v>0.64513888888888893</v>
      </c>
      <c r="N962" s="1" t="s">
        <v>29</v>
      </c>
      <c r="O962" s="3">
        <v>9198</v>
      </c>
      <c r="P962">
        <v>4761904762</v>
      </c>
      <c r="Q962" s="3">
        <v>4599</v>
      </c>
      <c r="R962">
        <v>98</v>
      </c>
      <c r="S962" s="3">
        <f>G962*SuperMarket_Analysis[[#This Row],[Quantity]]</f>
        <v>9198</v>
      </c>
    </row>
    <row r="963" spans="1:19" x14ac:dyDescent="0.25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177</v>
      </c>
      <c r="F963" s="1" t="s">
        <v>28</v>
      </c>
      <c r="G963" s="3">
        <v>2089</v>
      </c>
      <c r="H963">
        <v>2</v>
      </c>
      <c r="I963" s="3">
        <v>2089</v>
      </c>
      <c r="J963">
        <v>43869</v>
      </c>
      <c r="K963" t="str">
        <f t="shared" si="15"/>
        <v>fevereiro</v>
      </c>
      <c r="L963" s="4">
        <v>43501</v>
      </c>
      <c r="M963" s="2">
        <v>0.78125</v>
      </c>
      <c r="N963" s="1" t="s">
        <v>29</v>
      </c>
      <c r="O963" s="3">
        <v>4178</v>
      </c>
      <c r="P963">
        <v>4761904762</v>
      </c>
      <c r="Q963" s="3">
        <v>2089</v>
      </c>
      <c r="R963">
        <v>98</v>
      </c>
      <c r="S963" s="3">
        <f>G963*SuperMarket_Analysis[[#This Row],[Quantity]]</f>
        <v>4178</v>
      </c>
    </row>
    <row r="964" spans="1:19" x14ac:dyDescent="0.25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45</v>
      </c>
      <c r="G964" s="3">
        <v>155</v>
      </c>
      <c r="H964">
        <v>1</v>
      </c>
      <c r="I964" s="3">
        <v>775</v>
      </c>
      <c r="J964">
        <v>16275</v>
      </c>
      <c r="K964" t="str">
        <f t="shared" si="15"/>
        <v>março</v>
      </c>
      <c r="L964" s="4">
        <v>43543</v>
      </c>
      <c r="M964" s="2">
        <v>0.64097222222222228</v>
      </c>
      <c r="N964" s="1" t="s">
        <v>32</v>
      </c>
      <c r="O964" s="3">
        <v>155</v>
      </c>
      <c r="P964">
        <v>4761904762</v>
      </c>
      <c r="Q964" s="3">
        <v>775</v>
      </c>
      <c r="R964">
        <v>74</v>
      </c>
      <c r="S964" s="3">
        <f>G964*SuperMarket_Analysis[[#This Row],[Quantity]]</f>
        <v>155</v>
      </c>
    </row>
    <row r="965" spans="1:19" x14ac:dyDescent="0.25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177</v>
      </c>
      <c r="F965" s="1" t="s">
        <v>28</v>
      </c>
      <c r="G965" s="3">
        <v>9682</v>
      </c>
      <c r="H965">
        <v>3</v>
      </c>
      <c r="I965" s="3">
        <v>14523</v>
      </c>
      <c r="J965">
        <v>304983</v>
      </c>
      <c r="K965" t="str">
        <f t="shared" si="15"/>
        <v>março</v>
      </c>
      <c r="L965" s="4">
        <v>43554</v>
      </c>
      <c r="M965" s="2">
        <v>0.85902777777777772</v>
      </c>
      <c r="N965" s="1" t="s">
        <v>29</v>
      </c>
      <c r="O965" s="3">
        <v>29046</v>
      </c>
      <c r="P965">
        <v>4761904762</v>
      </c>
      <c r="Q965" s="3">
        <v>14523</v>
      </c>
      <c r="R965">
        <v>67</v>
      </c>
      <c r="S965" s="3">
        <f>G965*SuperMarket_Analysis[[#This Row],[Quantity]]</f>
        <v>29046</v>
      </c>
    </row>
    <row r="966" spans="1:19" x14ac:dyDescent="0.25">
      <c r="A966" s="1" t="s">
        <v>1000</v>
      </c>
      <c r="B966" s="1" t="s">
        <v>41</v>
      </c>
      <c r="C966" s="1" t="s">
        <v>42</v>
      </c>
      <c r="D966" s="1" t="s">
        <v>27</v>
      </c>
      <c r="E966" s="1" t="s">
        <v>177</v>
      </c>
      <c r="F966" s="1" t="s">
        <v>43</v>
      </c>
      <c r="G966" s="3">
        <v>3333</v>
      </c>
      <c r="H966">
        <v>2</v>
      </c>
      <c r="I966" s="3">
        <v>3333</v>
      </c>
      <c r="J966">
        <v>69993</v>
      </c>
      <c r="K966" t="str">
        <f t="shared" si="15"/>
        <v>janeiro</v>
      </c>
      <c r="L966" s="4">
        <v>43491</v>
      </c>
      <c r="M966" s="2">
        <v>0.6118055555555556</v>
      </c>
      <c r="N966" s="1" t="s">
        <v>32</v>
      </c>
      <c r="O966" s="3">
        <v>6666</v>
      </c>
      <c r="P966">
        <v>4761904762</v>
      </c>
      <c r="Q966" s="3">
        <v>3333</v>
      </c>
      <c r="R966">
        <v>64</v>
      </c>
      <c r="S966" s="3">
        <f>G966*SuperMarket_Analysis[[#This Row],[Quantity]]</f>
        <v>6666</v>
      </c>
    </row>
    <row r="967" spans="1:19" x14ac:dyDescent="0.25">
      <c r="A967" s="1" t="s">
        <v>1001</v>
      </c>
      <c r="B967" s="1" t="s">
        <v>41</v>
      </c>
      <c r="C967" s="1" t="s">
        <v>42</v>
      </c>
      <c r="D967" s="1" t="s">
        <v>27</v>
      </c>
      <c r="E967" s="1" t="s">
        <v>21</v>
      </c>
      <c r="F967" s="1" t="s">
        <v>28</v>
      </c>
      <c r="G967" s="3">
        <v>3827</v>
      </c>
      <c r="H967">
        <v>2</v>
      </c>
      <c r="I967" s="3">
        <v>3827</v>
      </c>
      <c r="J967">
        <v>80367</v>
      </c>
      <c r="K967" t="str">
        <f t="shared" si="15"/>
        <v>março</v>
      </c>
      <c r="L967" s="4">
        <v>43526</v>
      </c>
      <c r="M967" s="2">
        <v>0.76249999999999996</v>
      </c>
      <c r="N967" s="1" t="s">
        <v>32</v>
      </c>
      <c r="O967" s="3">
        <v>7654</v>
      </c>
      <c r="P967">
        <v>4761904762</v>
      </c>
      <c r="Q967" s="3">
        <v>3827</v>
      </c>
      <c r="R967">
        <v>58</v>
      </c>
      <c r="S967" s="3">
        <f>G967*SuperMarket_Analysis[[#This Row],[Quantity]]</f>
        <v>7654</v>
      </c>
    </row>
    <row r="968" spans="1:19" x14ac:dyDescent="0.25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3">
        <v>333</v>
      </c>
      <c r="H968">
        <v>9</v>
      </c>
      <c r="I968" s="3">
        <v>14985</v>
      </c>
      <c r="J968">
        <v>314685</v>
      </c>
      <c r="K968" t="str">
        <f t="shared" si="15"/>
        <v>março</v>
      </c>
      <c r="L968" s="4">
        <v>43528</v>
      </c>
      <c r="M968" s="2">
        <v>0.64375000000000004</v>
      </c>
      <c r="N968" s="1" t="s">
        <v>23</v>
      </c>
      <c r="O968" s="3">
        <v>2997</v>
      </c>
      <c r="P968">
        <v>4761904762</v>
      </c>
      <c r="Q968" s="3">
        <v>14985</v>
      </c>
      <c r="R968">
        <v>72</v>
      </c>
      <c r="S968" s="3">
        <f>G968*SuperMarket_Analysis[[#This Row],[Quantity]]</f>
        <v>2997</v>
      </c>
    </row>
    <row r="969" spans="1:19" x14ac:dyDescent="0.25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177</v>
      </c>
      <c r="F969" s="1" t="s">
        <v>31</v>
      </c>
      <c r="G969" s="3">
        <v>8101</v>
      </c>
      <c r="H969">
        <v>3</v>
      </c>
      <c r="I969" s="3">
        <v>121515</v>
      </c>
      <c r="J969">
        <v>2551815</v>
      </c>
      <c r="K969" t="str">
        <f t="shared" si="15"/>
        <v>janeiro</v>
      </c>
      <c r="L969" s="4">
        <v>43478</v>
      </c>
      <c r="M969" s="2">
        <v>0.53819444444444442</v>
      </c>
      <c r="N969" s="1" t="s">
        <v>32</v>
      </c>
      <c r="O969" s="3">
        <v>24303</v>
      </c>
      <c r="P969">
        <v>4761904762</v>
      </c>
      <c r="Q969" s="3">
        <v>121515</v>
      </c>
      <c r="R969">
        <v>93</v>
      </c>
      <c r="S969" s="3">
        <f>G969*SuperMarket_Analysis[[#This Row],[Quantity]]</f>
        <v>24303</v>
      </c>
    </row>
    <row r="970" spans="1:19" x14ac:dyDescent="0.25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3">
        <v>158</v>
      </c>
      <c r="H970">
        <v>3</v>
      </c>
      <c r="I970" s="3">
        <v>237</v>
      </c>
      <c r="J970">
        <v>4977</v>
      </c>
      <c r="K970" t="str">
        <f t="shared" si="15"/>
        <v>março</v>
      </c>
      <c r="L970" s="4">
        <v>43549</v>
      </c>
      <c r="M970" s="2">
        <v>0.75138888888888888</v>
      </c>
      <c r="N970" s="1" t="s">
        <v>29</v>
      </c>
      <c r="O970" s="3">
        <v>474</v>
      </c>
      <c r="P970">
        <v>4761904762</v>
      </c>
      <c r="Q970" s="3">
        <v>237</v>
      </c>
      <c r="R970">
        <v>95</v>
      </c>
      <c r="S970" s="3">
        <f>G970*SuperMarket_Analysis[[#This Row],[Quantity]]</f>
        <v>474</v>
      </c>
    </row>
    <row r="971" spans="1:19" x14ac:dyDescent="0.25">
      <c r="A971" s="1" t="s">
        <v>1005</v>
      </c>
      <c r="B971" s="1" t="s">
        <v>41</v>
      </c>
      <c r="C971" s="1" t="s">
        <v>42</v>
      </c>
      <c r="D971" s="1" t="s">
        <v>20</v>
      </c>
      <c r="E971" s="1" t="s">
        <v>21</v>
      </c>
      <c r="F971" s="1" t="s">
        <v>28</v>
      </c>
      <c r="G971" s="3">
        <v>3449</v>
      </c>
      <c r="H971">
        <v>5</v>
      </c>
      <c r="I971" s="3">
        <v>86225</v>
      </c>
      <c r="J971">
        <v>1810725</v>
      </c>
      <c r="K971" t="str">
        <f t="shared" si="15"/>
        <v>março</v>
      </c>
      <c r="L971" s="4">
        <v>43535</v>
      </c>
      <c r="M971" s="2">
        <v>0.82222222222222219</v>
      </c>
      <c r="N971" s="1" t="s">
        <v>32</v>
      </c>
      <c r="O971" s="3">
        <v>17245</v>
      </c>
      <c r="P971">
        <v>4761904762</v>
      </c>
      <c r="Q971" s="3">
        <v>86225</v>
      </c>
      <c r="R971">
        <v>9</v>
      </c>
      <c r="S971" s="3">
        <f>G971*SuperMarket_Analysis[[#This Row],[Quantity]]</f>
        <v>17245</v>
      </c>
    </row>
    <row r="972" spans="1:19" x14ac:dyDescent="0.25">
      <c r="A972" s="1" t="s">
        <v>1006</v>
      </c>
      <c r="B972" s="1" t="s">
        <v>41</v>
      </c>
      <c r="C972" s="1" t="s">
        <v>42</v>
      </c>
      <c r="D972" s="1" t="s">
        <v>20</v>
      </c>
      <c r="E972" s="1" t="s">
        <v>21</v>
      </c>
      <c r="F972" s="1" t="s">
        <v>43</v>
      </c>
      <c r="G972" s="3">
        <v>8463</v>
      </c>
      <c r="H972">
        <v>10</v>
      </c>
      <c r="I972" s="3">
        <v>42315</v>
      </c>
      <c r="J972">
        <v>888615</v>
      </c>
      <c r="K972" t="str">
        <f t="shared" si="15"/>
        <v>janeiro</v>
      </c>
      <c r="L972" s="4">
        <v>43466</v>
      </c>
      <c r="M972" s="2">
        <v>0.48333333333333334</v>
      </c>
      <c r="N972" s="1" t="s">
        <v>32</v>
      </c>
      <c r="O972" s="3">
        <v>8463</v>
      </c>
      <c r="P972">
        <v>4761904762</v>
      </c>
      <c r="Q972" s="3">
        <v>42315</v>
      </c>
      <c r="R972">
        <v>9</v>
      </c>
      <c r="S972" s="3">
        <f>G972*SuperMarket_Analysis[[#This Row],[Quantity]]</f>
        <v>84630</v>
      </c>
    </row>
    <row r="973" spans="1:19" x14ac:dyDescent="0.25">
      <c r="A973" s="1" t="s">
        <v>1007</v>
      </c>
      <c r="B973" s="1" t="s">
        <v>41</v>
      </c>
      <c r="C973" s="1" t="s">
        <v>42</v>
      </c>
      <c r="D973" s="1" t="s">
        <v>20</v>
      </c>
      <c r="E973" s="1" t="s">
        <v>177</v>
      </c>
      <c r="F973" s="1" t="s">
        <v>31</v>
      </c>
      <c r="G973" s="3">
        <v>3691</v>
      </c>
      <c r="H973">
        <v>7</v>
      </c>
      <c r="I973" s="3">
        <v>129185</v>
      </c>
      <c r="J973">
        <v>2712885</v>
      </c>
      <c r="K973" t="str">
        <f t="shared" si="15"/>
        <v>fevereiro</v>
      </c>
      <c r="L973" s="4">
        <v>43506</v>
      </c>
      <c r="M973" s="2">
        <v>0.57708333333333328</v>
      </c>
      <c r="N973" s="1" t="s">
        <v>23</v>
      </c>
      <c r="O973" s="3">
        <v>25837</v>
      </c>
      <c r="P973">
        <v>4761904762</v>
      </c>
      <c r="Q973" s="3">
        <v>129185</v>
      </c>
      <c r="R973">
        <v>67</v>
      </c>
      <c r="S973" s="3">
        <f>G973*SuperMarket_Analysis[[#This Row],[Quantity]]</f>
        <v>25837</v>
      </c>
    </row>
    <row r="974" spans="1:19" x14ac:dyDescent="0.25">
      <c r="A974" s="1" t="s">
        <v>1008</v>
      </c>
      <c r="B974" s="1" t="s">
        <v>41</v>
      </c>
      <c r="C974" s="1" t="s">
        <v>42</v>
      </c>
      <c r="D974" s="1" t="s">
        <v>27</v>
      </c>
      <c r="E974" s="1" t="s">
        <v>177</v>
      </c>
      <c r="F974" s="1" t="s">
        <v>28</v>
      </c>
      <c r="G974" s="3">
        <v>8708</v>
      </c>
      <c r="H974">
        <v>7</v>
      </c>
      <c r="I974" s="3">
        <v>30478</v>
      </c>
      <c r="J974">
        <v>640038</v>
      </c>
      <c r="K974" t="str">
        <f t="shared" si="15"/>
        <v>janeiro</v>
      </c>
      <c r="L974" s="4">
        <v>43491</v>
      </c>
      <c r="M974" s="2">
        <v>0.63680555555555551</v>
      </c>
      <c r="N974" s="1" t="s">
        <v>29</v>
      </c>
      <c r="O974" s="3">
        <v>60956</v>
      </c>
      <c r="P974">
        <v>4761904762</v>
      </c>
      <c r="Q974" s="3">
        <v>30478</v>
      </c>
      <c r="R974">
        <v>55</v>
      </c>
      <c r="S974" s="3">
        <f>G974*SuperMarket_Analysis[[#This Row],[Quantity]]</f>
        <v>60956</v>
      </c>
    </row>
    <row r="975" spans="1:19" x14ac:dyDescent="0.25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177</v>
      </c>
      <c r="F975" s="1" t="s">
        <v>31</v>
      </c>
      <c r="G975" s="3">
        <v>8008</v>
      </c>
      <c r="H975">
        <v>3</v>
      </c>
      <c r="I975" s="3">
        <v>12012</v>
      </c>
      <c r="J975">
        <v>252252</v>
      </c>
      <c r="K975" t="str">
        <f t="shared" si="15"/>
        <v>fevereiro</v>
      </c>
      <c r="L975" s="4">
        <v>43507</v>
      </c>
      <c r="M975" s="2">
        <v>0.64513888888888893</v>
      </c>
      <c r="N975" s="1" t="s">
        <v>29</v>
      </c>
      <c r="O975" s="3">
        <v>24024</v>
      </c>
      <c r="P975">
        <v>4761904762</v>
      </c>
      <c r="Q975" s="3">
        <v>12012</v>
      </c>
      <c r="R975">
        <v>54</v>
      </c>
      <c r="S975" s="3">
        <f>G975*SuperMarket_Analysis[[#This Row],[Quantity]]</f>
        <v>24024</v>
      </c>
    </row>
    <row r="976" spans="1:19" x14ac:dyDescent="0.25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177</v>
      </c>
      <c r="F976" s="1" t="s">
        <v>45</v>
      </c>
      <c r="G976" s="3">
        <v>8613</v>
      </c>
      <c r="H976">
        <v>2</v>
      </c>
      <c r="I976" s="3">
        <v>8613</v>
      </c>
      <c r="J976">
        <v>180873</v>
      </c>
      <c r="K976" t="str">
        <f t="shared" si="15"/>
        <v>fevereiro</v>
      </c>
      <c r="L976" s="4">
        <v>43503</v>
      </c>
      <c r="M976" s="2">
        <v>0.74930555555555556</v>
      </c>
      <c r="N976" s="1" t="s">
        <v>29</v>
      </c>
      <c r="O976" s="3">
        <v>17226</v>
      </c>
      <c r="P976">
        <v>4761904762</v>
      </c>
      <c r="Q976" s="3">
        <v>8613</v>
      </c>
      <c r="R976">
        <v>82</v>
      </c>
      <c r="S976" s="3">
        <f>G976*SuperMarket_Analysis[[#This Row],[Quantity]]</f>
        <v>17226</v>
      </c>
    </row>
    <row r="977" spans="1:19" x14ac:dyDescent="0.25">
      <c r="A977" s="1" t="s">
        <v>1011</v>
      </c>
      <c r="B977" s="1" t="s">
        <v>41</v>
      </c>
      <c r="C977" s="1" t="s">
        <v>42</v>
      </c>
      <c r="D977" s="1" t="s">
        <v>20</v>
      </c>
      <c r="E977" s="1" t="s">
        <v>177</v>
      </c>
      <c r="F977" s="1" t="s">
        <v>45</v>
      </c>
      <c r="G977" s="3">
        <v>4992</v>
      </c>
      <c r="H977">
        <v>2</v>
      </c>
      <c r="I977" s="3">
        <v>4992</v>
      </c>
      <c r="J977">
        <v>104832</v>
      </c>
      <c r="K977" t="str">
        <f t="shared" si="15"/>
        <v>março</v>
      </c>
      <c r="L977" s="4">
        <v>43530</v>
      </c>
      <c r="M977" s="2">
        <v>0.49652777777777779</v>
      </c>
      <c r="N977" s="1" t="s">
        <v>32</v>
      </c>
      <c r="O977" s="3">
        <v>9984</v>
      </c>
      <c r="P977">
        <v>4761904762</v>
      </c>
      <c r="Q977" s="3">
        <v>4992</v>
      </c>
      <c r="R977">
        <v>7</v>
      </c>
      <c r="S977" s="3">
        <f>G977*SuperMarket_Analysis[[#This Row],[Quantity]]</f>
        <v>9984</v>
      </c>
    </row>
    <row r="978" spans="1:19" x14ac:dyDescent="0.25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43</v>
      </c>
      <c r="G978" s="3">
        <v>7466</v>
      </c>
      <c r="H978">
        <v>4</v>
      </c>
      <c r="I978" s="3">
        <v>14932</v>
      </c>
      <c r="J978">
        <v>313572</v>
      </c>
      <c r="K978" t="str">
        <f t="shared" si="15"/>
        <v>março</v>
      </c>
      <c r="L978" s="4">
        <v>43528</v>
      </c>
      <c r="M978" s="2">
        <v>0.44374999999999998</v>
      </c>
      <c r="N978" s="1" t="s">
        <v>29</v>
      </c>
      <c r="O978" s="3">
        <v>29864</v>
      </c>
      <c r="P978">
        <v>4761904762</v>
      </c>
      <c r="Q978" s="3">
        <v>14932</v>
      </c>
      <c r="R978">
        <v>85</v>
      </c>
      <c r="S978" s="3">
        <f>G978*SuperMarket_Analysis[[#This Row],[Quantity]]</f>
        <v>29864</v>
      </c>
    </row>
    <row r="979" spans="1:19" x14ac:dyDescent="0.25">
      <c r="A979" s="1" t="s">
        <v>1013</v>
      </c>
      <c r="B979" s="1" t="s">
        <v>41</v>
      </c>
      <c r="C979" s="1" t="s">
        <v>42</v>
      </c>
      <c r="D979" s="1" t="s">
        <v>20</v>
      </c>
      <c r="E979" s="1" t="s">
        <v>177</v>
      </c>
      <c r="F979" s="1" t="s">
        <v>43</v>
      </c>
      <c r="G979" s="3">
        <v>266</v>
      </c>
      <c r="H979">
        <v>6</v>
      </c>
      <c r="I979" s="3">
        <v>798</v>
      </c>
      <c r="J979">
        <v>16758</v>
      </c>
      <c r="K979" t="str">
        <f t="shared" si="15"/>
        <v>fevereiro</v>
      </c>
      <c r="L979" s="4">
        <v>43522</v>
      </c>
      <c r="M979" s="2">
        <v>0.63194444444444442</v>
      </c>
      <c r="N979" s="1" t="s">
        <v>23</v>
      </c>
      <c r="O979" s="3">
        <v>1596</v>
      </c>
      <c r="P979">
        <v>4761904762</v>
      </c>
      <c r="Q979" s="3">
        <v>798</v>
      </c>
      <c r="R979">
        <v>49</v>
      </c>
      <c r="S979" s="3">
        <f>G979*SuperMarket_Analysis[[#This Row],[Quantity]]</f>
        <v>1596</v>
      </c>
    </row>
    <row r="980" spans="1:19" x14ac:dyDescent="0.25">
      <c r="A980" s="1" t="s">
        <v>1014</v>
      </c>
      <c r="B980" s="1" t="s">
        <v>41</v>
      </c>
      <c r="C980" s="1" t="s">
        <v>42</v>
      </c>
      <c r="D980" s="1" t="s">
        <v>27</v>
      </c>
      <c r="E980" s="1" t="s">
        <v>21</v>
      </c>
      <c r="F980" s="1" t="s">
        <v>28</v>
      </c>
      <c r="G980" s="3">
        <v>2545</v>
      </c>
      <c r="H980">
        <v>1</v>
      </c>
      <c r="I980" s="3">
        <v>12725</v>
      </c>
      <c r="J980">
        <v>267225</v>
      </c>
      <c r="K980" t="str">
        <f t="shared" si="15"/>
        <v>março</v>
      </c>
      <c r="L980" s="4">
        <v>43534</v>
      </c>
      <c r="M980" s="2">
        <v>0.75694444444444442</v>
      </c>
      <c r="N980" s="1" t="s">
        <v>32</v>
      </c>
      <c r="O980" s="3">
        <v>2545</v>
      </c>
      <c r="P980">
        <v>4761904762</v>
      </c>
      <c r="Q980" s="3">
        <v>12725</v>
      </c>
      <c r="R980">
        <v>51</v>
      </c>
      <c r="S980" s="3">
        <f>G980*SuperMarket_Analysis[[#This Row],[Quantity]]</f>
        <v>2545</v>
      </c>
    </row>
    <row r="981" spans="1:19" x14ac:dyDescent="0.25">
      <c r="A981" s="1" t="s">
        <v>1015</v>
      </c>
      <c r="B981" s="1" t="s">
        <v>41</v>
      </c>
      <c r="C981" s="1" t="s">
        <v>42</v>
      </c>
      <c r="D981" s="1" t="s">
        <v>27</v>
      </c>
      <c r="E981" s="1" t="s">
        <v>21</v>
      </c>
      <c r="F981" s="1" t="s">
        <v>43</v>
      </c>
      <c r="G981" s="3">
        <v>6777</v>
      </c>
      <c r="H981">
        <v>1</v>
      </c>
      <c r="I981" s="3">
        <v>33885</v>
      </c>
      <c r="J981">
        <v>711585</v>
      </c>
      <c r="K981" t="str">
        <f t="shared" si="15"/>
        <v>fevereiro</v>
      </c>
      <c r="L981" s="4">
        <v>43500</v>
      </c>
      <c r="M981" s="2">
        <v>0.86319444444444449</v>
      </c>
      <c r="N981" s="1" t="s">
        <v>32</v>
      </c>
      <c r="O981" s="3">
        <v>6777</v>
      </c>
      <c r="P981">
        <v>4761904762</v>
      </c>
      <c r="Q981" s="3">
        <v>33885</v>
      </c>
      <c r="R981">
        <v>65</v>
      </c>
      <c r="S981" s="3">
        <f>G981*SuperMarket_Analysis[[#This Row],[Quantity]]</f>
        <v>6777</v>
      </c>
    </row>
    <row r="982" spans="1:19" x14ac:dyDescent="0.25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177</v>
      </c>
      <c r="F982" s="1" t="s">
        <v>43</v>
      </c>
      <c r="G982" s="3">
        <v>5959</v>
      </c>
      <c r="H982">
        <v>4</v>
      </c>
      <c r="I982" s="3">
        <v>11918</v>
      </c>
      <c r="J982">
        <v>250278</v>
      </c>
      <c r="K982" t="str">
        <f t="shared" si="15"/>
        <v>janeiro</v>
      </c>
      <c r="L982" s="4">
        <v>43484</v>
      </c>
      <c r="M982" s="2">
        <v>0.53194444444444444</v>
      </c>
      <c r="N982" s="1" t="s">
        <v>29</v>
      </c>
      <c r="O982" s="3">
        <v>23836</v>
      </c>
      <c r="P982">
        <v>4761904762</v>
      </c>
      <c r="Q982" s="3">
        <v>11918</v>
      </c>
      <c r="R982">
        <v>98</v>
      </c>
      <c r="S982" s="3">
        <f>G982*SuperMarket_Analysis[[#This Row],[Quantity]]</f>
        <v>23836</v>
      </c>
    </row>
    <row r="983" spans="1:19" x14ac:dyDescent="0.25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177</v>
      </c>
      <c r="F983" s="1" t="s">
        <v>22</v>
      </c>
      <c r="G983" s="3">
        <v>5815</v>
      </c>
      <c r="H983">
        <v>4</v>
      </c>
      <c r="I983" s="3">
        <v>1163</v>
      </c>
      <c r="J983">
        <v>24423</v>
      </c>
      <c r="K983" t="str">
        <f t="shared" si="15"/>
        <v>janeiro</v>
      </c>
      <c r="L983" s="4">
        <v>43488</v>
      </c>
      <c r="M983" s="2">
        <v>0.73888888888888893</v>
      </c>
      <c r="N983" s="1" t="s">
        <v>29</v>
      </c>
      <c r="O983" s="3">
        <v>2326</v>
      </c>
      <c r="P983">
        <v>4761904762</v>
      </c>
      <c r="Q983" s="3">
        <v>1163</v>
      </c>
      <c r="R983">
        <v>84</v>
      </c>
      <c r="S983" s="3">
        <f>G983*SuperMarket_Analysis[[#This Row],[Quantity]]</f>
        <v>23260</v>
      </c>
    </row>
    <row r="984" spans="1:19" x14ac:dyDescent="0.25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35</v>
      </c>
      <c r="G984" s="3">
        <v>9748</v>
      </c>
      <c r="H984">
        <v>9</v>
      </c>
      <c r="I984" s="3">
        <v>43866</v>
      </c>
      <c r="J984">
        <v>921186</v>
      </c>
      <c r="K984" t="str">
        <f t="shared" si="15"/>
        <v>março</v>
      </c>
      <c r="L984" s="4">
        <v>43538</v>
      </c>
      <c r="M984" s="2">
        <v>0.59652777777777777</v>
      </c>
      <c r="N984" s="1" t="s">
        <v>23</v>
      </c>
      <c r="O984" s="3">
        <v>87732</v>
      </c>
      <c r="P984">
        <v>4761904762</v>
      </c>
      <c r="Q984" s="3">
        <v>43866</v>
      </c>
      <c r="R984">
        <v>74</v>
      </c>
      <c r="S984" s="3">
        <f>G984*SuperMarket_Analysis[[#This Row],[Quantity]]</f>
        <v>87732</v>
      </c>
    </row>
    <row r="985" spans="1:19" x14ac:dyDescent="0.25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177</v>
      </c>
      <c r="F985" s="1" t="s">
        <v>22</v>
      </c>
      <c r="G985" s="3">
        <v>9996</v>
      </c>
      <c r="H985">
        <v>7</v>
      </c>
      <c r="I985" s="3">
        <v>34986</v>
      </c>
      <c r="J985">
        <v>734706</v>
      </c>
      <c r="K985" t="str">
        <f t="shared" si="15"/>
        <v>janeiro</v>
      </c>
      <c r="L985" s="4">
        <v>43488</v>
      </c>
      <c r="M985" s="2">
        <v>0.43958333333333333</v>
      </c>
      <c r="N985" s="1" t="s">
        <v>29</v>
      </c>
      <c r="O985" s="3">
        <v>69972</v>
      </c>
      <c r="P985">
        <v>4761904762</v>
      </c>
      <c r="Q985" s="3">
        <v>34986</v>
      </c>
      <c r="R985">
        <v>61</v>
      </c>
      <c r="S985" s="3">
        <f>G985*SuperMarket_Analysis[[#This Row],[Quantity]]</f>
        <v>69972</v>
      </c>
    </row>
    <row r="986" spans="1:19" x14ac:dyDescent="0.25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177</v>
      </c>
      <c r="F986" s="1" t="s">
        <v>28</v>
      </c>
      <c r="G986" s="3">
        <v>9637</v>
      </c>
      <c r="H986">
        <v>7</v>
      </c>
      <c r="I986" s="3">
        <v>337295</v>
      </c>
      <c r="J986">
        <v>7083195</v>
      </c>
      <c r="K986" t="str">
        <f t="shared" si="15"/>
        <v>janeiro</v>
      </c>
      <c r="L986" s="4">
        <v>43474</v>
      </c>
      <c r="M986" s="2">
        <v>0.4861111111111111</v>
      </c>
      <c r="N986" s="1" t="s">
        <v>29</v>
      </c>
      <c r="O986" s="3">
        <v>67459</v>
      </c>
      <c r="P986">
        <v>4761904762</v>
      </c>
      <c r="Q986" s="3">
        <v>337295</v>
      </c>
      <c r="R986">
        <v>6</v>
      </c>
      <c r="S986" s="3">
        <f>G986*SuperMarket_Analysis[[#This Row],[Quantity]]</f>
        <v>67459</v>
      </c>
    </row>
    <row r="987" spans="1:19" x14ac:dyDescent="0.25">
      <c r="A987" s="1" t="s">
        <v>1021</v>
      </c>
      <c r="B987" s="1" t="s">
        <v>41</v>
      </c>
      <c r="C987" s="1" t="s">
        <v>42</v>
      </c>
      <c r="D987" s="1" t="s">
        <v>27</v>
      </c>
      <c r="E987" s="1" t="s">
        <v>21</v>
      </c>
      <c r="F987" s="1" t="s">
        <v>45</v>
      </c>
      <c r="G987" s="3">
        <v>6371</v>
      </c>
      <c r="H987">
        <v>5</v>
      </c>
      <c r="I987" s="3">
        <v>159275</v>
      </c>
      <c r="J987">
        <v>3344775</v>
      </c>
      <c r="K987" t="str">
        <f t="shared" si="15"/>
        <v>fevereiro</v>
      </c>
      <c r="L987" s="4">
        <v>43503</v>
      </c>
      <c r="M987" s="2">
        <v>0.8125</v>
      </c>
      <c r="N987" s="1" t="s">
        <v>23</v>
      </c>
      <c r="O987" s="3">
        <v>31855</v>
      </c>
      <c r="P987">
        <v>4761904762</v>
      </c>
      <c r="Q987" s="3">
        <v>159275</v>
      </c>
      <c r="R987">
        <v>85</v>
      </c>
      <c r="S987" s="3">
        <f>G987*SuperMarket_Analysis[[#This Row],[Quantity]]</f>
        <v>31855</v>
      </c>
    </row>
    <row r="988" spans="1:19" x14ac:dyDescent="0.25">
      <c r="A988" s="1" t="s">
        <v>1022</v>
      </c>
      <c r="B988" s="1" t="s">
        <v>41</v>
      </c>
      <c r="C988" s="1" t="s">
        <v>42</v>
      </c>
      <c r="D988" s="1" t="s">
        <v>27</v>
      </c>
      <c r="E988" s="1" t="s">
        <v>21</v>
      </c>
      <c r="F988" s="1" t="s">
        <v>22</v>
      </c>
      <c r="G988" s="3">
        <v>1476</v>
      </c>
      <c r="H988">
        <v>2</v>
      </c>
      <c r="I988" s="3">
        <v>1476</v>
      </c>
      <c r="J988">
        <v>30996</v>
      </c>
      <c r="K988" t="str">
        <f t="shared" si="15"/>
        <v>fevereiro</v>
      </c>
      <c r="L988" s="4">
        <v>43514</v>
      </c>
      <c r="M988" s="2">
        <v>0.61250000000000004</v>
      </c>
      <c r="N988" s="1" t="s">
        <v>23</v>
      </c>
      <c r="O988" s="3">
        <v>2952</v>
      </c>
      <c r="P988">
        <v>4761904762</v>
      </c>
      <c r="Q988" s="3">
        <v>1476</v>
      </c>
      <c r="R988">
        <v>43</v>
      </c>
      <c r="S988" s="3">
        <f>G988*SuperMarket_Analysis[[#This Row],[Quantity]]</f>
        <v>2952</v>
      </c>
    </row>
    <row r="989" spans="1:19" x14ac:dyDescent="0.25">
      <c r="A989" s="1" t="s">
        <v>1023</v>
      </c>
      <c r="B989" s="1" t="s">
        <v>41</v>
      </c>
      <c r="C989" s="1" t="s">
        <v>42</v>
      </c>
      <c r="D989" s="1" t="s">
        <v>20</v>
      </c>
      <c r="E989" s="1" t="s">
        <v>177</v>
      </c>
      <c r="F989" s="1" t="s">
        <v>22</v>
      </c>
      <c r="G989" s="3">
        <v>62</v>
      </c>
      <c r="H989">
        <v>8</v>
      </c>
      <c r="I989" s="3">
        <v>248</v>
      </c>
      <c r="J989">
        <v>5208</v>
      </c>
      <c r="K989" t="str">
        <f t="shared" si="15"/>
        <v>janeiro</v>
      </c>
      <c r="L989" s="4">
        <v>43468</v>
      </c>
      <c r="M989" s="2">
        <v>0.79722222222222228</v>
      </c>
      <c r="N989" s="1" t="s">
        <v>32</v>
      </c>
      <c r="O989" s="3">
        <v>496</v>
      </c>
      <c r="P989">
        <v>4761904762</v>
      </c>
      <c r="Q989" s="3">
        <v>248</v>
      </c>
      <c r="R989">
        <v>62</v>
      </c>
      <c r="S989" s="3">
        <f>G989*SuperMarket_Analysis[[#This Row],[Quantity]]</f>
        <v>496</v>
      </c>
    </row>
    <row r="990" spans="1:19" x14ac:dyDescent="0.25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177</v>
      </c>
      <c r="F990" s="1" t="s">
        <v>28</v>
      </c>
      <c r="G990" s="3">
        <v>8234</v>
      </c>
      <c r="H990">
        <v>10</v>
      </c>
      <c r="I990" s="3">
        <v>4117</v>
      </c>
      <c r="J990">
        <v>86457</v>
      </c>
      <c r="K990" t="str">
        <f t="shared" si="15"/>
        <v>março</v>
      </c>
      <c r="L990" s="4">
        <v>43553</v>
      </c>
      <c r="M990" s="2">
        <v>0.8</v>
      </c>
      <c r="N990" s="1" t="s">
        <v>23</v>
      </c>
      <c r="O990" s="3">
        <v>8234</v>
      </c>
      <c r="P990">
        <v>4761904762</v>
      </c>
      <c r="Q990" s="3">
        <v>4117</v>
      </c>
      <c r="R990">
        <v>43</v>
      </c>
      <c r="S990" s="3">
        <f>G990*SuperMarket_Analysis[[#This Row],[Quantity]]</f>
        <v>82340</v>
      </c>
    </row>
    <row r="991" spans="1:19" x14ac:dyDescent="0.25">
      <c r="A991" s="1" t="s">
        <v>1025</v>
      </c>
      <c r="B991" s="1" t="s">
        <v>41</v>
      </c>
      <c r="C991" s="1" t="s">
        <v>42</v>
      </c>
      <c r="D991" s="1" t="s">
        <v>20</v>
      </c>
      <c r="E991" s="1" t="s">
        <v>177</v>
      </c>
      <c r="F991" s="1" t="s">
        <v>22</v>
      </c>
      <c r="G991" s="3">
        <v>7537</v>
      </c>
      <c r="H991">
        <v>8</v>
      </c>
      <c r="I991" s="3">
        <v>30148</v>
      </c>
      <c r="J991">
        <v>633108</v>
      </c>
      <c r="K991" t="str">
        <f t="shared" si="15"/>
        <v>janeiro</v>
      </c>
      <c r="L991" s="4">
        <v>43493</v>
      </c>
      <c r="M991" s="2">
        <v>0.65694444444444444</v>
      </c>
      <c r="N991" s="1" t="s">
        <v>32</v>
      </c>
      <c r="O991" s="3">
        <v>60296</v>
      </c>
      <c r="P991">
        <v>4761904762</v>
      </c>
      <c r="Q991" s="3">
        <v>30148</v>
      </c>
      <c r="R991">
        <v>84</v>
      </c>
      <c r="S991" s="3">
        <f>G991*SuperMarket_Analysis[[#This Row],[Quantity]]</f>
        <v>60296</v>
      </c>
    </row>
    <row r="992" spans="1:19" x14ac:dyDescent="0.25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43</v>
      </c>
      <c r="G992" s="3">
        <v>5656</v>
      </c>
      <c r="H992">
        <v>5</v>
      </c>
      <c r="I992" s="3">
        <v>1414</v>
      </c>
      <c r="J992">
        <v>29694</v>
      </c>
      <c r="K992" t="str">
        <f t="shared" si="15"/>
        <v>março</v>
      </c>
      <c r="L992" s="4">
        <v>43546</v>
      </c>
      <c r="M992" s="2">
        <v>0.79583333333333328</v>
      </c>
      <c r="N992" s="1" t="s">
        <v>32</v>
      </c>
      <c r="O992" s="3">
        <v>2828</v>
      </c>
      <c r="P992">
        <v>4761904762</v>
      </c>
      <c r="Q992" s="3">
        <v>1414</v>
      </c>
      <c r="R992">
        <v>45</v>
      </c>
      <c r="S992" s="3">
        <f>G992*SuperMarket_Analysis[[#This Row],[Quantity]]</f>
        <v>28280</v>
      </c>
    </row>
    <row r="993" spans="1:19" x14ac:dyDescent="0.25">
      <c r="A993" s="1" t="s">
        <v>1027</v>
      </c>
      <c r="B993" s="1" t="s">
        <v>41</v>
      </c>
      <c r="C993" s="1" t="s">
        <v>42</v>
      </c>
      <c r="D993" s="1" t="s">
        <v>27</v>
      </c>
      <c r="E993" s="1" t="s">
        <v>21</v>
      </c>
      <c r="F993" s="1" t="s">
        <v>35</v>
      </c>
      <c r="G993" s="3">
        <v>766</v>
      </c>
      <c r="H993">
        <v>10</v>
      </c>
      <c r="I993" s="3">
        <v>383</v>
      </c>
      <c r="J993">
        <v>8043</v>
      </c>
      <c r="K993" t="str">
        <f t="shared" si="15"/>
        <v>janeiro</v>
      </c>
      <c r="L993" s="4">
        <v>43489</v>
      </c>
      <c r="M993" s="2">
        <v>0.75694444444444442</v>
      </c>
      <c r="N993" s="1" t="s">
        <v>23</v>
      </c>
      <c r="O993" s="3">
        <v>766</v>
      </c>
      <c r="P993">
        <v>4761904762</v>
      </c>
      <c r="Q993" s="3">
        <v>383</v>
      </c>
      <c r="R993">
        <v>6</v>
      </c>
      <c r="S993" s="3">
        <f>G993*SuperMarket_Analysis[[#This Row],[Quantity]]</f>
        <v>7660</v>
      </c>
    </row>
    <row r="994" spans="1:19" x14ac:dyDescent="0.25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177</v>
      </c>
      <c r="F994" s="1" t="s">
        <v>28</v>
      </c>
      <c r="G994" s="3">
        <v>5803</v>
      </c>
      <c r="H994">
        <v>2</v>
      </c>
      <c r="I994" s="3">
        <v>5803</v>
      </c>
      <c r="J994">
        <v>121863</v>
      </c>
      <c r="K994" t="str">
        <f t="shared" si="15"/>
        <v>março</v>
      </c>
      <c r="L994" s="4">
        <v>43534</v>
      </c>
      <c r="M994" s="2">
        <v>0.86527777777777781</v>
      </c>
      <c r="N994" s="1" t="s">
        <v>23</v>
      </c>
      <c r="O994" s="3">
        <v>11606</v>
      </c>
      <c r="P994">
        <v>4761904762</v>
      </c>
      <c r="Q994" s="3">
        <v>5803</v>
      </c>
      <c r="R994">
        <v>88</v>
      </c>
      <c r="S994" s="3">
        <f>G994*SuperMarket_Analysis[[#This Row],[Quantity]]</f>
        <v>11606</v>
      </c>
    </row>
    <row r="995" spans="1:19" x14ac:dyDescent="0.25">
      <c r="A995" s="1" t="s">
        <v>1029</v>
      </c>
      <c r="B995" s="1" t="s">
        <v>41</v>
      </c>
      <c r="C995" s="1" t="s">
        <v>42</v>
      </c>
      <c r="D995" s="1" t="s">
        <v>27</v>
      </c>
      <c r="E995" s="1" t="s">
        <v>177</v>
      </c>
      <c r="F995" s="1" t="s">
        <v>45</v>
      </c>
      <c r="G995" s="3">
        <v>1749</v>
      </c>
      <c r="H995">
        <v>10</v>
      </c>
      <c r="I995" s="3">
        <v>8745</v>
      </c>
      <c r="J995">
        <v>183645</v>
      </c>
      <c r="K995" t="str">
        <f t="shared" si="15"/>
        <v>fevereiro</v>
      </c>
      <c r="L995" s="4">
        <v>43518</v>
      </c>
      <c r="M995" s="2">
        <v>0.77430555555555558</v>
      </c>
      <c r="N995" s="1" t="s">
        <v>23</v>
      </c>
      <c r="O995" s="3">
        <v>1749</v>
      </c>
      <c r="P995">
        <v>4761904762</v>
      </c>
      <c r="Q995" s="3">
        <v>8745</v>
      </c>
      <c r="R995">
        <v>66</v>
      </c>
      <c r="S995" s="3">
        <f>G995*SuperMarket_Analysis[[#This Row],[Quantity]]</f>
        <v>17490</v>
      </c>
    </row>
    <row r="996" spans="1:19" x14ac:dyDescent="0.25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3">
        <v>6095</v>
      </c>
      <c r="H996">
        <v>1</v>
      </c>
      <c r="I996" s="3">
        <v>30475</v>
      </c>
      <c r="J996">
        <v>639975</v>
      </c>
      <c r="K996" t="str">
        <f t="shared" si="15"/>
        <v>fevereiro</v>
      </c>
      <c r="L996" s="4">
        <v>43514</v>
      </c>
      <c r="M996" s="2">
        <v>0.4861111111111111</v>
      </c>
      <c r="N996" s="1" t="s">
        <v>23</v>
      </c>
      <c r="O996" s="3">
        <v>6095</v>
      </c>
      <c r="P996">
        <v>4761904762</v>
      </c>
      <c r="Q996" s="3">
        <v>30475</v>
      </c>
      <c r="R996">
        <v>59</v>
      </c>
      <c r="S996" s="3">
        <f>G996*SuperMarket_Analysis[[#This Row],[Quantity]]</f>
        <v>6095</v>
      </c>
    </row>
    <row r="997" spans="1:19" x14ac:dyDescent="0.25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177</v>
      </c>
      <c r="F997" s="1" t="s">
        <v>22</v>
      </c>
      <c r="G997" s="3">
        <v>4035</v>
      </c>
      <c r="H997">
        <v>1</v>
      </c>
      <c r="I997" s="3">
        <v>20175</v>
      </c>
      <c r="J997">
        <v>423675</v>
      </c>
      <c r="K997" t="str">
        <f t="shared" si="15"/>
        <v>janeiro</v>
      </c>
      <c r="L997" s="4">
        <v>43494</v>
      </c>
      <c r="M997" s="2">
        <v>0.57361111111111107</v>
      </c>
      <c r="N997" s="1" t="s">
        <v>23</v>
      </c>
      <c r="O997" s="3">
        <v>4035</v>
      </c>
      <c r="P997">
        <v>4761904762</v>
      </c>
      <c r="Q997" s="3">
        <v>20175</v>
      </c>
      <c r="R997">
        <v>62</v>
      </c>
      <c r="S997" s="3">
        <f>G997*SuperMarket_Analysis[[#This Row],[Quantity]]</f>
        <v>4035</v>
      </c>
    </row>
    <row r="998" spans="1:19" x14ac:dyDescent="0.25">
      <c r="A998" s="1" t="s">
        <v>1032</v>
      </c>
      <c r="B998" s="1" t="s">
        <v>41</v>
      </c>
      <c r="C998" s="1" t="s">
        <v>42</v>
      </c>
      <c r="D998" s="1" t="s">
        <v>27</v>
      </c>
      <c r="E998" s="1" t="s">
        <v>21</v>
      </c>
      <c r="F998" s="1" t="s">
        <v>31</v>
      </c>
      <c r="G998" s="3">
        <v>9738</v>
      </c>
      <c r="H998">
        <v>10</v>
      </c>
      <c r="I998" s="3">
        <v>4869</v>
      </c>
      <c r="J998">
        <v>102249</v>
      </c>
      <c r="K998" t="str">
        <f t="shared" si="15"/>
        <v>março</v>
      </c>
      <c r="L998" s="4">
        <v>43526</v>
      </c>
      <c r="M998" s="2">
        <v>0.71944444444444444</v>
      </c>
      <c r="N998" s="1" t="s">
        <v>23</v>
      </c>
      <c r="O998" s="3">
        <v>9738</v>
      </c>
      <c r="P998">
        <v>4761904762</v>
      </c>
      <c r="Q998" s="3">
        <v>4869</v>
      </c>
      <c r="R998">
        <v>44</v>
      </c>
      <c r="S998" s="3">
        <f>G998*SuperMarket_Analysis[[#This Row],[Quantity]]</f>
        <v>97380</v>
      </c>
    </row>
    <row r="999" spans="1:19" x14ac:dyDescent="0.25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177</v>
      </c>
      <c r="F999" s="1" t="s">
        <v>43</v>
      </c>
      <c r="G999" s="3">
        <v>3184</v>
      </c>
      <c r="H999">
        <v>1</v>
      </c>
      <c r="I999" s="3">
        <v>1592</v>
      </c>
      <c r="J999">
        <v>33432</v>
      </c>
      <c r="K999" t="str">
        <f t="shared" si="15"/>
        <v>fevereiro</v>
      </c>
      <c r="L999" s="4">
        <v>43505</v>
      </c>
      <c r="M999" s="2">
        <v>0.55694444444444446</v>
      </c>
      <c r="N999" s="1" t="s">
        <v>29</v>
      </c>
      <c r="O999" s="3">
        <v>3184</v>
      </c>
      <c r="P999">
        <v>4761904762</v>
      </c>
      <c r="Q999" s="3">
        <v>1592</v>
      </c>
      <c r="R999">
        <v>77</v>
      </c>
      <c r="S999" s="3">
        <f>G999*SuperMarket_Analysis[[#This Row],[Quantity]]</f>
        <v>3184</v>
      </c>
    </row>
    <row r="1000" spans="1:19" x14ac:dyDescent="0.25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177</v>
      </c>
      <c r="F1000" s="1" t="s">
        <v>31</v>
      </c>
      <c r="G1000" s="3">
        <v>6582</v>
      </c>
      <c r="H1000">
        <v>1</v>
      </c>
      <c r="I1000" s="3">
        <v>3291</v>
      </c>
      <c r="J1000">
        <v>69111</v>
      </c>
      <c r="K1000" t="str">
        <f t="shared" si="15"/>
        <v>fevereiro</v>
      </c>
      <c r="L1000" s="4">
        <v>43518</v>
      </c>
      <c r="M1000" s="2">
        <v>0.6479166666666667</v>
      </c>
      <c r="N1000" s="1" t="s">
        <v>29</v>
      </c>
      <c r="O1000" s="3">
        <v>6582</v>
      </c>
      <c r="P1000">
        <v>4761904762</v>
      </c>
      <c r="Q1000" s="3">
        <v>3291</v>
      </c>
      <c r="R1000">
        <v>41</v>
      </c>
      <c r="S1000" s="3">
        <f>G1000*SuperMarket_Analysis[[#This Row],[Quantity]]</f>
        <v>6582</v>
      </c>
    </row>
    <row r="1001" spans="1:19" x14ac:dyDescent="0.25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45</v>
      </c>
      <c r="G1001" s="3">
        <v>8834</v>
      </c>
      <c r="H1001">
        <v>7</v>
      </c>
      <c r="I1001" s="3">
        <v>30919</v>
      </c>
      <c r="J1001">
        <v>649299</v>
      </c>
      <c r="K1001" t="str">
        <f t="shared" si="15"/>
        <v>fevereiro</v>
      </c>
      <c r="L1001" s="4">
        <v>43514</v>
      </c>
      <c r="M1001" s="2">
        <v>0.56111111111111112</v>
      </c>
      <c r="N1001" s="1" t="s">
        <v>29</v>
      </c>
      <c r="O1001" s="3">
        <v>61838</v>
      </c>
      <c r="P1001">
        <v>4761904762</v>
      </c>
      <c r="Q1001" s="3">
        <v>30919</v>
      </c>
      <c r="R1001">
        <v>66</v>
      </c>
      <c r="S1001" s="3">
        <f>G1001*SuperMarket_Analysis[[#This Row],[Quantity]]</f>
        <v>61838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6698C-15FC-4FD1-BB2C-930385A815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Ranking de produtos</vt:lpstr>
      <vt:lpstr>Onde vedemos +</vt:lpstr>
      <vt:lpstr>Quem é nosso Cliente</vt:lpstr>
      <vt:lpstr>Evolução do Faturamento Mensal </vt:lpstr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2026-04-19T11:30:27Z</dcterms:created>
  <dcterms:modified xsi:type="dcterms:W3CDTF">2026-04-19T13:25:13Z</dcterms:modified>
</cp:coreProperties>
</file>